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https://utbcz-my.sharepoint.com/personal/skovar_utb_cz/Documents/EMC+AI/AI-in-EMC-dataset/"/>
    </mc:Choice>
  </mc:AlternateContent>
  <xr:revisionPtr revIDLastSave="5" documentId="11_D4A157F4C817BE6F210AE7D2FBA8774E9DDFCEC2" xr6:coauthVersionLast="47" xr6:coauthVersionMax="47" xr10:uidLastSave="{796ECF51-B1F2-C14F-900E-315E2BB91029}"/>
  <bookViews>
    <workbookView xWindow="0" yWindow="600" windowWidth="28800" windowHeight="15820" xr2:uid="{00000000-000D-0000-FFFF-FFFF00000000}"/>
  </bookViews>
  <sheets>
    <sheet name="Core AI in EMC" sheetId="1" r:id="rId1"/>
    <sheet name="Adjacent EM domains" sheetId="2" r:id="rId2"/>
    <sheet name="Statistics" sheetId="3" r:id="rId3"/>
    <sheet name="Methodology" sheetId="4" r:id="rId4"/>
  </sheets>
  <definedNames>
    <definedName name="_xlnm._FilterDatabase" localSheetId="1" hidden="1">'Adjacent EM domains'!$A$1:$L$163</definedName>
    <definedName name="_xlnm._FilterDatabase" localSheetId="0" hidden="1">'Core AI in EMC'!$A$1:$L$124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6" i="3" l="1"/>
  <c r="B35" i="3"/>
  <c r="B34" i="3"/>
  <c r="B33" i="3"/>
  <c r="B32" i="3"/>
  <c r="B27" i="3"/>
  <c r="B26" i="3"/>
  <c r="B25" i="3"/>
  <c r="B24" i="3"/>
  <c r="B23" i="3"/>
  <c r="B18" i="3"/>
  <c r="B17" i="3"/>
  <c r="B16" i="3"/>
  <c r="B15" i="3"/>
  <c r="B14" i="3"/>
  <c r="B9" i="3"/>
  <c r="B8" i="3"/>
  <c r="B7" i="3"/>
  <c r="B6" i="3"/>
  <c r="B5" i="3"/>
  <c r="B37" i="3" l="1"/>
  <c r="C32" i="3"/>
  <c r="B28" i="3"/>
  <c r="C23" i="3"/>
  <c r="C14" i="3"/>
  <c r="B19" i="3"/>
  <c r="B10" i="3"/>
  <c r="C5" i="3"/>
  <c r="C33" i="3" l="1"/>
  <c r="C34" i="3"/>
  <c r="C35" i="3"/>
  <c r="C36" i="3"/>
  <c r="C24" i="3"/>
  <c r="C25" i="3"/>
  <c r="C26" i="3"/>
  <c r="C27" i="3"/>
  <c r="C17" i="3"/>
  <c r="C18" i="3"/>
  <c r="C15" i="3"/>
  <c r="C16" i="3"/>
  <c r="C6" i="3"/>
  <c r="C7" i="3"/>
  <c r="C8" i="3"/>
  <c r="C9" i="3"/>
</calcChain>
</file>

<file path=xl/sharedStrings.xml><?xml version="1.0" encoding="utf-8"?>
<sst xmlns="http://schemas.openxmlformats.org/spreadsheetml/2006/main" count="2680" uniqueCount="1940">
  <si>
    <t>No.</t>
  </si>
  <si>
    <t>First author</t>
  </si>
  <si>
    <t>Year</t>
  </si>
  <si>
    <t>Title</t>
  </si>
  <si>
    <t>Core claim</t>
  </si>
  <si>
    <t>Results</t>
  </si>
  <si>
    <t>Limitations</t>
  </si>
  <si>
    <t>EMC category</t>
  </si>
  <si>
    <t>AI category</t>
  </si>
  <si>
    <t>AI technique</t>
  </si>
  <si>
    <t>Review</t>
  </si>
  <si>
    <t>Source file</t>
  </si>
  <si>
    <t>Sidi Salah et al.</t>
  </si>
  <si>
    <t>Simulation and Optimization of Electromagnetic Absorption of Polycarbonate/CNT Composites Using Machine Learning</t>
  </si>
  <si>
    <t>A system of 15 specialized MLP networks with automatic selection of the appropriate network can predict the electromagnetic absorption index of polycarbonate/CNT composite films for EMI shielding, thereby replacing S-parameter measurements in the design of absorbing materials.</t>
  </si>
  <si>
    <t>Average prediction accuracy of 99.80% with an average computation time of 0.013 s per sample; the PC composite with 5 wt.% CNT was evaluated as the best absorber in the microwave band according to the Rozanov formalism.</t>
  </si>
  <si>
    <t>Not stated explicitly: the system is tied to specific PC/CNT sample categories from the authors' own database, and generalizability to other material systems or wider composition ranges has not been verified.</t>
  </si>
  <si>
    <t>A - Shielding and EMC materials</t>
  </si>
  <si>
    <t>1 - Neural networks and deep learning</t>
  </si>
  <si>
    <t>MLP (15 specialized networks with automatic selection)</t>
  </si>
  <si>
    <t>old/29 - Simulation and Optimization of Electromagnetic Absorption of PolycarbonateCNT Composites Using Machine Learning.pdf</t>
  </si>
  <si>
    <t>Ayub et al.</t>
  </si>
  <si>
    <t>Preparation Methods for Graphene Metal and Polymer Based Composites for EMI Shielding Materials: State of the Art Review of the Conventional and Machine Learning Methods</t>
  </si>
  <si>
    <t>A review study surveys preparation methods for graphene, metal, and polymer composites for EMI shielding and identifies a gap in the use of AI/ML methods in this field, noting that machine learning methods (especially artificial neural networks) have significantly improved EMI material modeling in recent years.</t>
  </si>
  <si>
    <t>The alternating deposition method provides the highest shielding effectiveness (SE) for graphene and metal composites, while for polymer composites the highest SE is achieved by chemical vapor deposition (CVD); a trend toward hybrid and ensemble ML methods for achieving higher modeling performance is identified.</t>
  </si>
  <si>
    <t>Not stated explicitly: this is a review article without its own experiment; the authors themselves report, as a finding, a shortage of publications combining AI/ML with the design of EMI shielding materials.</t>
  </si>
  <si>
    <t>Review of ML methods (mainly ANN, hybrid/ensemble models) for modeling EMI shielding composites</t>
  </si>
  <si>
    <t>yes</t>
  </si>
  <si>
    <t>old/236 - Preparation Methods for Graphene Metal and Polymer Based Composites for EMI Shielding Materials State of the Art Review of the Conventional and Machine Learning Methods.pdf</t>
  </si>
  <si>
    <t>Bora et al.</t>
  </si>
  <si>
    <t>Electromagnetic Data-Driven Approach to Realize the Best Microwave Absorption Characteristics of MXene-Based Nanocomposites</t>
  </si>
  <si>
    <t>The authors propose an electromagnetic data-driven approach that, based on a limited amount of experimental data for various weight fractions of PANI-Ti3C2Tx MXene in PVB, predicts reflection loss (RL) characteristics for any composition within the range of 0.2-59.9 wt.%.</t>
  </si>
  <si>
    <t>The model predicted an optimal composition of 23.5 wt.% PANI-Ti3C2Tx MXene with RL = -59.5 dB in the X band (8.2-12.4 GHz) at a thickness of 1.5 mm, and the prediction was confirmed experimentally.</t>
  </si>
  <si>
    <t>Not stated explicitly: the model is based on a small number of experimental samples and validated for only one material system (PVB-PANI-MXene); general transferability to other composites has not been demonstrated.</t>
  </si>
  <si>
    <t>2 - Classical machine learning</t>
  </si>
  <si>
    <t>Data-driven regression model (RL prediction)</t>
  </si>
  <si>
    <t>old/43 - Electromagnetic Data-Driven Approach to Realize the Best Microwave Absorption Characteristics of MXene-Based Nanocomposites.pdf</t>
  </si>
  <si>
    <t>Guan et al.</t>
  </si>
  <si>
    <t>Data mining and design of electromagnetic properties of Co/FeSi filled coatings based on genetic algorithms optimized artificial neural networks (GA-ANN)</t>
  </si>
  <si>
    <t>The authors developed a predictive model based on a genetic algorithm-optimized artificial neural network (GA-ANN) for data mining and prediction of the electromagnetic properties of coatings filled with Co/FeSi particles at an arbitrary ratio and combination of absorbers, and subsequently used the GA to design a composition for broadband absorption.</t>
  </si>
  <si>
    <t>The GA-ANN model exhibited lower error and higher accuracy than a conventional ANN; the optimized coating with a thickness of 2.06 mm containing 13.5 wt% Co and 55.6 wt% FeSi achieved an effective absorption bandwidth (RL below -10 dB) of 9.3 GHz, which agreed with experimental verification.</t>
  </si>
  <si>
    <t>Not stated explicitly: the available text of the conclusion does not include a discussion of limitations; this presumably concerns the model's limitation to the studied type of absorbers (Co/FeSi) and the range of thicknesses/filling ratios used during training.</t>
  </si>
  <si>
    <t>Genetic algorithm-optimized artificial neural network (GA-ANN)</t>
  </si>
  <si>
    <t>old/250 - Data mining and design of electromagnetic properties of CoFeSi filled coatings based on genetic algorithms optimized artificial neural networks (GA-ANN).pdf</t>
  </si>
  <si>
    <t>Shi et al.</t>
  </si>
  <si>
    <t>Machine Learning to Optimize Nanocomposite Materials for Electromagnetic Interference Shielding</t>
  </si>
  <si>
    <t>A machine learning model (a weighted-average ensemble of five base models) can rapidly predict the shielding effectiveness (EMI SE) of carbon nanocomposites from material and structural properties and reveal key design factors.</t>
  </si>
  <si>
    <t>The resulting prediction model achieved a coefficient of determination R2 = 0.82; conductive particle filling, thickness, porosity, and number of layers were identified as the most significant factors affecting shielding effectiveness.</t>
  </si>
  <si>
    <t>Not stated explicitly: the model is built on a dataset compiled from published literature, whose heterogeneity and limited range of material types may limit the general transferability of the results.</t>
  </si>
  <si>
    <t>Weighted-average ensemble of 5 ML models + partial dependence/ICE analysis</t>
  </si>
  <si>
    <t>old/58 - Machine learning to optimize nanocomposite materials for electromagnetic interference shielding.pdf</t>
  </si>
  <si>
    <t>Chaudhary et al.</t>
  </si>
  <si>
    <t>Machine Learning Empowered Magnetic Substrate Coupled Broadband and Miniaturized Frequency Selective Surface</t>
  </si>
  <si>
    <t>The authors propose an FSS combined with magnetic substrates (ferrite, magnetic silicone rubber) for broadband, miniaturized EMI shielding, and use deep neural networks for the inverse design of the structure's parameters.</t>
  </si>
  <si>
    <t>An MSE of 2.92×10⁻⁸ was achieved between the expected and predicted output; the entire X-band is shielded with a minimum SE of 10 dB and a peak SE of 56 dB at resonance (simulation), with a measured peak SE of 33 dB at 10.3 GHz; the unit-cell size is only 0.21λ × 0.21λ; angular stability up to 75°.</t>
  </si>
  <si>
    <t>Not stated explicitly: a slight deviation between measured and simulated results, attributed to manufacturing and measurement inaccuracies; the DNN was trained only on data from a specific structure topology.</t>
  </si>
  <si>
    <t>3 - Generative and inverse models</t>
  </si>
  <si>
    <t>Deep neural network (DNN) for inverse modeling of shielding-structure parameters</t>
  </si>
  <si>
    <t>Machine_Learning_Empowered_Magnetic_Substrate_Coupled_Broadband_and_Miniaturized_Frequency_Selective_Surface.pdf</t>
  </si>
  <si>
    <t>Choupanzadeh et al.</t>
  </si>
  <si>
    <t>A Deep Neural Network Modeling Methodology for Efficient EMC Assessment of Shielding Enclosures Using MECA-Generated RCS Training Data</t>
  </si>
  <si>
    <t>The authors develop a deep neural network (DNN) methodology for predicting the radar cross section (RCS) of a shielding enclosure as a function of aperture attributes (shape, size, spacing, number), in order to efficiently evaluate the EMC performance of shielding enclosures without the need for costly full-wave simulations.</t>
  </si>
  <si>
    <t>Based on approximately 55,000 experiments generated by the MECA method, many DNN architectures were trained and compared; the optimal DNN model showed excellent agreement with MECA predictions for previously unseen configurations at significantly lower computational cost (time and memory) than traditional numerical methods.</t>
  </si>
  <si>
    <t>The authors state that future work should explore DNNs for apertures with non-uniform shapes and sizes, inverse (backward) prediction of parameters, and the susceptibility of electronics inside the enclosure to external interference sources.</t>
  </si>
  <si>
    <t>Deep neural network (DNN) with hyperparameter optimization (number of layers/neurons, activation, optimizer)</t>
  </si>
  <si>
    <t>old/90 - A Deep Neural Network Modeling Methodology for Efficient EMC Assessment of Shielding Enclosures Using MECA-Generated RCS Training Data.pdf</t>
  </si>
  <si>
    <t>Jain et al.</t>
  </si>
  <si>
    <t>Machine Learning Techniques for Predicting Metamaterial Microwave Absorption Performance: A Comparison</t>
  </si>
  <si>
    <t>The authors compare several machine learning regression techniques for predictive modeling and design optimization of a metamaterial microwave absorber (MMA) operating in the X and Ku bands, as an alternative to time-consuming EM simulations.</t>
  </si>
  <si>
    <t>Among the compared regressors (decision tree, kNN, random forest, extra trees, bagging, LightGBM, XGBoost, histogram gradient boosting, CatBoost, gradient boosting), the Extra Trees regressor achieved the best results according to the adjusted R², MSE, RMSE, and MAE metrics; the proposed MMA achieves absorption of 99.42%, 98.48%, 98.92%, and 99.34% at 9.948, 13.26, 14.92, and 15.80 GHz.</t>
  </si>
  <si>
    <t>Not stated explicitly: specific limitations are not given in the available text; the model's transferability is presumably limited beyond the training frequency range (X/Ku band) and the tested absorber geometry.</t>
  </si>
  <si>
    <t>Extra Trees regressor (compared against random forest, XGBoost, LightGBM, CatBoost, gradient boosting)</t>
  </si>
  <si>
    <t>old/192 - Machine Learning Techniques for Predicting Metamaterial Microwave Absorption Performance A Comparison.pdf</t>
  </si>
  <si>
    <t>Liu et al.</t>
  </si>
  <si>
    <t>Performance Optimization Engineering of Multicomponent Absorbing Materials Based on Machine Learning</t>
  </si>
  <si>
    <t>The authors propose a closed loop combining machine learning, an extended Maxwell-Garnett model, electromagnetic calculations, and experimental feedback for the rapid design of multi-component microwave absorbing materials within a practically infinite design parameter space, from very sparse data.</t>
  </si>
  <si>
    <t>The designed NiF and NMC materials met the required absorption characteristics in the X and Ku bands at thicknesses of only 2.0 and 1.78 mm; the targets for the S band, C band, and the entire 2.0-18.0 GHz range were also achieved as expected.</t>
  </si>
  <si>
    <t>Not stated explicitly: the available text does not include a separate limitations section; this presumably concerns the dependence of model accuracy on the quality of the extended Maxwell-Garnett model, and limited transferability to material systems beyond the studied Ni/Fe@CF composites.</t>
  </si>
  <si>
    <t>Machine learning (regression model) combined with the extended Maxwell-Garnett model for formulation screening</t>
  </si>
  <si>
    <t>old/247 - Performance Optimization Engineering of Multicomponent Absorbing Materials Based on Machine Learning.pdf</t>
  </si>
  <si>
    <t>Xu et al.</t>
  </si>
  <si>
    <t>Efficient EMI Analysis and Self-Shielding Design Method for Pin Map of System-in-Package</t>
  </si>
  <si>
    <t>Combining the analytical virtual boundary generalized T-matrix (VBGT) method with deep reinforcement learning (DQN) enables automatic design of GND pin placement to suppress EMI leakage radiation from solder ball connections in system-in-package packages.</t>
  </si>
  <si>
    <t>The VBGT method achieves a computation error below 3 dB compared to commercial software, with the computation time shortened a hundredfold; the VBGT-DRL algorithm with an online interaction module efficiently optimizes pin placement for various real configurations without requiring retraining for each new geometry.</t>
  </si>
  <si>
    <t>Not stated explicitly: validation is performed on a limited number of real pin-map scenarios; the robustness of the approach for very dense or substantially different package topologies is not discussed in the text.</t>
  </si>
  <si>
    <t>4 - Reinforcement learning</t>
  </si>
  <si>
    <t>VBGT (generalized T-matrix) + Deep Q-Network (deep reinforcement learning)</t>
  </si>
  <si>
    <t>old/56 - Efficient EMI Analysis and Self-Shielding Design Method for Pin Map of System-in-Package.pdf</t>
  </si>
  <si>
    <t>Yao et al.</t>
  </si>
  <si>
    <t>Optimal design of multilayer radar absorbing materials: a simulation-optimization approach</t>
  </si>
  <si>
    <t>The authors propose combining EM simulation (CST) and numerical computation (MATLAB) with substitution by a homogeneous medium and a simple genetic algorithm (SGA) for the optimal design of multilayer radar-absorbing materials (RAM) with an impedance-graded structure in the Ka-band.</t>
  </si>
  <si>
    <t>The optimized ten-layer structure achieved a gradual impedance increase from 0 to 377 Ω and agreement between the transmission line theory calculation and the simulation; the method is described as fast and efficient compared to purely simulation-based or purely optimization-based approaches.</t>
  </si>
  <si>
    <t>Not stated explicitly in the available excerpt of the conclusion; the context implies that the method is limited to structures describable by effective (homogenized) EM parameters of the individual layers, which simplifies real complex structures.</t>
  </si>
  <si>
    <t>5 - Metaheuristics and Bayesian optimization</t>
  </si>
  <si>
    <t>Simple genetic algorithm (SGA) for optimization of the impedance-graded multilayer structure</t>
  </si>
  <si>
    <t>old/245 - Optimal design of multilayer radar absorbing materials a simulation-optimization approach.pdf</t>
  </si>
  <si>
    <t>Revolutionizing Electromagnetic Materials: Machine Learning Enabled Optimization of Polymer Nanocomposites for Enhanced Performance</t>
  </si>
  <si>
    <t>The authors use Gaussian process regression (GPR) for multidimensional optimization of key parameters (filler content, thickness) of PDMS-Fe2O3 polymer nanocomposites, aiming to maximize the reflection loss (RL) and its bandwidth, in combination with an optimization algorithm operating on the predicted electromagnetic response.</t>
  </si>
  <si>
    <t>By integrating the optimization algorithm with the GPR prediction, they achieved an optimal RLmin value of -67 dB for a 1.4 mm thick PDMS nanocomposite with 33 vol% Fe2O3, which the authors describe as the best published result to date for this type of material; experimental results confirmed the prediction.</t>
  </si>
  <si>
    <t>Not stated explicitly in the available excerpt of the conclusion (it contains only the measurement methodology); this presumably concerns the GPR model's limitation to interpolation within the range of the four experimentally measured filler contents, and a single material system (PDMS-Fe2O3).</t>
  </si>
  <si>
    <t>Gaussian process regression (GPR) integrated with an optimization algorithm</t>
  </si>
  <si>
    <t>old/255 - Revolutionizing Electromagnetic Materials Machine Learning Enabled Optimization of Polymer Nanocomposites for Enhanced Performance.pdf</t>
  </si>
  <si>
    <t>Husnain et al.</t>
  </si>
  <si>
    <t>Machine Learning Approaches for Predicting Shielding Effectiveness of Carbon Fiber-Reinforced Mortars</t>
  </si>
  <si>
    <t>The article proposes machine learning predictive models for estimating the shielding effectiveness (SE) of carbon-fiber-reinforced cement mortars as a function of radiation frequency and mix parameters (water/cement ratio, fiber content, sand/cement ratio, fiber aspect ratio).</t>
  </si>
  <si>
    <t>The models achieved R² values and correlation coefficients above 0.85 and 0.95, respectively, on training, testing, and validation data; the experimental/predicted SE ratio ranged from 0.5 to 1.5; SHAP analysis and GEP equations revealed a positive correlation of SE with the sand/cement ratio, fiber aspect ratio, fiber content, and frequency, and a negative correlation with the water/cement ratio.</t>
  </si>
  <si>
    <t>Not stated explicitly: the model is built on a limited dataset compiled from the literature, and its validity is limited to the investigated range of material parameters and frequencies.</t>
  </si>
  <si>
    <t>Random forest, gradient boosting, GEP, AdaBoost, decision tree, kNN, SGD, stepwise regression + SHAP</t>
  </si>
  <si>
    <t>old/79 - Machine learning approaches for predicting shielding effectiveness of carbon fiber-reinforced mortars.pdf</t>
  </si>
  <si>
    <t>Du et al.</t>
  </si>
  <si>
    <t>SCS-Net: A DNN-based electromagnetic shielding effectiveness analysis method for slotted composite structures</t>
  </si>
  <si>
    <t>The SCS-Net method, based on a deep neural network, can accurately predict the electromagnetic shielding effectiveness (SE) of slotted composite structures, taking into account structural, material, and wave parameters. It addresses the shortage of measured data by fusing measurements and simulations (MCF dataset) together with an improved NRW equivalence and a weighted L1 loss function.</t>
  </si>
  <si>
    <t>The average SE prediction error is 0.1 dB for single-frequency and 0.07 dB for swept-frequency simulations in the 8–10 GHz band; the weighted L1 norm reduces the maximum error of the equivalent EM parameters by 47% and improves accuracy on measured data by up to 23.88%, with an SE error below 0.61 dB when using the MCF dataset.</t>
  </si>
  <si>
    <t>Not stated explicitly: validation is limited to the 8–10 GHz band and a small number of measured samples; the authors defer the relationships between reflection, absorption, multiple reflections, and SE to future work.</t>
  </si>
  <si>
    <t>DNN (SCS-Net) + improved NRW equivalence, weighted L1 loss, measurement-simulation fusion (MCF)</t>
  </si>
  <si>
    <t>SCS-Net A DNN-based electromagnetic shielding effectiveness analysis method for slotted composite structures.pdf</t>
  </si>
  <si>
    <t>He et al.</t>
  </si>
  <si>
    <t>Deep-learning approach for developing bilayered electromagnetic interference shielding composite aerogels based on multimodal data fusion neural networks</t>
  </si>
  <si>
    <t>The authors propose a multimodal neural network fusing numerical composite-composition data with microstructural images to predict the EMI shielding effectiveness of bilayer Ag@F-ZnO/WPU/BF aerogel composites without the need for extensive experiments.</t>
  </si>
  <si>
    <t>The best multimodal model (FCNN + ResNet with GatedFusion) achieved an RMSE of 0.7626, MAE of 0.4918, and a correlation coefficient of R=0.9885; on four new samples it predicted SE with an average error below 5%; the experimentally prepared aerogels achieved a total shielding effectiveness (SE_T) of up to 78.6 dB and an absorption coefficient of up to 0.96.</t>
  </si>
  <si>
    <t>Not stated explicitly: the model was trained and validated on only 16 (+4 new) samples of a single material system (Ag@F-ZnO/WPU/BF), which limits its general validity for other compositions.</t>
  </si>
  <si>
    <t>Multimodal neural network (FCNN + ResNet, GatedFusion)</t>
  </si>
  <si>
    <t>Deep-learning approach for developing bilayered electromagnetic interference shielding composite aerogels based on multimodal data fusion neural networks.pdf</t>
  </si>
  <si>
    <t>Hranicky</t>
  </si>
  <si>
    <t>Machine Learning Surrogate Models for Electromagnetic Simulation</t>
  </si>
  <si>
    <t>This master's thesis develops surrogate models (Fourier Neural Operator and Graph Neural Network) for the EMC Plus FDTD solver, predicting the shielding effectiveness (SE) of electrical enclosures based on geometry, material properties, and incident plane-wave illumination conditions.</t>
  </si>
  <si>
    <t>The FNO model achieves an average GDM of 0.116-0.127 (the "excellent" range per IEEE 1597.1-2008), an MAE of ~0.03-0.035, and an inference speedup over simulation of &gt;3000x (16 ms vs. ~50 s); the GNN model handles more complex real-world enclosure geometries with an average GDM of 0.66-0.75 (the "fair" range), is about 100x smaller than the FNO model, and provides inference in ~100 ms, though about a third of the test samples fall into the "poor" range.</t>
  </si>
  <si>
    <t>The author states that for complex real-world geometries (large domains, cable bundles, enclosure seams), the FNO model becomes memory-prohibitive (&gt;100 GiB); the GNN model has inconsistent accuracy across samples due to limited variability of geometric configurations in the training data; and both architectures may not fully capture the physics governed by Maxwell's equations. The models also do not quantify prediction uncertainty, which is a risk for safety-critical applications.</t>
  </si>
  <si>
    <t>Fourier Neural Operator (FNO) and Graph Neural Network (GNN) surrogate models</t>
  </si>
  <si>
    <t>Machine_Learning_Surrogate_Mod.pdf</t>
  </si>
  <si>
    <t>Geometric Optimization of Passive High-Frequency Electromagnetic Shielding Structures Based on Finite Element Analysis and Deep Learning</t>
  </si>
  <si>
    <t>Geometric optimization of passive shielding for WPT systems, combining finite-element analysis with a DBN-BP neural network, enables simultaneously increasing shielding effectiveness and reducing material consumption, with a concentric-ring structure identified as the most favorable topology.</t>
  </si>
  <si>
    <t>The DBN-BP model generates tailored parametric combinations achieving, for example, 113% SE at 71.4% material volume, or 106% SE at 43.36% material consumption, relative to the baseline design; the parametric analysis showed that SE increases with ring width and decreases with the size of the gaps between rings.</t>
  </si>
  <si>
    <t>The authors state that future research must include additional real-world effects to increase model accuracy, as well as new materials; verification is simulation-only (FEA) without experimental validation.</t>
  </si>
  <si>
    <t>DBN-BP neural network (deep belief network + backpropagation) + FEA</t>
  </si>
  <si>
    <t>Energy Science   Engineering - 2025 - Liu - Geometric Optimization of Passive High%E2%80%90Frequency Electromagnetic Shielding.pdf</t>
  </si>
  <si>
    <t>Qi et al.</t>
  </si>
  <si>
    <t>A machine learning-based inverse design method for frequency-selective surface microwave absorbers</t>
  </si>
  <si>
    <t>The paper proposes an ML-assisted inverse topology design method (using MLP-Mixer) for microwave FSS absorbers that maps the required electromagnetic response directly onto the topology and material parameters of a multilayer structure, thereby addressing EMC/EMI issues in electric vehicles.</t>
  </si>
  <si>
    <t>The fabricated and measured sample achieved, at normal incidence, an absorption band of 1.33–7.31 GHz with a relative bandwidth of 138.2% at a thickness of 0.114 λL; at an incidence angle of 45°, the structure retains a wide relative bandwidth for both TE and TM polarization.</t>
  </si>
  <si>
    <t>The method requires a large training dataset generated by electromagnetic simulations, which increases the initial design cost, although the inference itself is then on the order of microseconds.</t>
  </si>
  <si>
    <t>MLP-Mixer (inverse topology and parametric design)</t>
  </si>
  <si>
    <t>A machine learning-based inverse design method for frequency-selective surface microwave absorbers.pdf</t>
  </si>
  <si>
    <t>Ranjith Kumar R et al.</t>
  </si>
  <si>
    <t>Design and Optimization of Wide-Band FSS Using Reinforcement Learning for X and Ku Band Radar Shielding Applications</t>
  </si>
  <si>
    <t>A reinforcement learning framework with the Soft Actor-Critic (SAC) algorithm can automatically design a complex single-layer broadband FSS for shielding radar X- and Ku-bands, outperforming conventional iterative design procedures in both accuracy and speed.</t>
  </si>
  <si>
    <t>The designed FSS achieves a stopband of 10.42 GHz (7.88–18.30 GHz), an SE of 68 dB, and angular stability up to 60°; the SAC model (500 epochs, 1800 samples) achieved an MSE of 0.2341 versus 0.2790 for DDPG, shortened the design process by 98.73%, and predicts dimensions within 120 s; the results were verified by prototype measurement.</t>
  </si>
  <si>
    <t>Not stated explicitly: the approach is demonstrated on a single FSS topology and requires a dataset of 1800 simulated samples; the transferability of the RL agent to other structures and frequency bands has not been verified.</t>
  </si>
  <si>
    <t>Soft Actor-Critic (SAC) reinforcement learning + equivalent circuit model</t>
  </si>
  <si>
    <t>Design_and_Optimization_of_Wide-Band_FSS_Using_Reinforcement_Learning_for_X_and_Ku_Band_Radar_Shielding_Applications.pdf</t>
  </si>
  <si>
    <t>Sairam SD et al.</t>
  </si>
  <si>
    <t>EMI Shielding With Anisotropic Frequency Selective Surfaces: A Neural Network and Equivalent Circuit Approach</t>
  </si>
  <si>
    <t>An inverse model based on a multilayer perceptron (MLP) combined with an equivalent circuit model can predict the dimensions of a coupled ring anisotropic FSS (CRAFSS) for broadband EMI shielding from the required S-parameters, resonant frequency, and shielding effectiveness.</t>
  </si>
  <si>
    <t>The best network configuration achieved an MSE of 1.012×10⁻⁴; the designed single-layer FSS provides broadband shielding in the 6–16 GHz band with stability for incidence angles of 0–60° in both TE and TM polarization; measurements of the fabricated prototype agree well with the simulations.</t>
  </si>
  <si>
    <t>Not stated explicitly: the authors leave behavior under circular polarization, tunable materials, and multilayer structures to future research; the training data originate exclusively from simulations, and the measured SE is slightly lower than the simulated SE.</t>
  </si>
  <si>
    <t>MLP/DNN (inverse modeling) + equivalent circuit model</t>
  </si>
  <si>
    <t>EMI_Shielding_With_Anisotropic_Frequency_Selective_Surfaces_A_Neural_Network_and_Equivalent_Circuit_Approach.pdf</t>
  </si>
  <si>
    <t>Sutrakar et al.</t>
  </si>
  <si>
    <t>A Machine Learning Approach for Design of Frequency Selective Surface based Radar Absorbing Material via Image Prediction</t>
  </si>
  <si>
    <t>The authors propose an inverse ML approach in which the unit-cell geometry image (Jerusalem cross) is predicted directly from the required absorption coefficient of an FSS-based radar absorbing material (RAM), thereby bypassing the need for iterative EM simulations.</t>
  </si>
  <si>
    <t>Of the ten ML models tested, five (Random Forest classification, K-Neighbors classification, Random Forest regression, Decision Tree classification and regression) achieved training accuracy/R2 above 90%; the best was the Random Forest classifier with a training accuracy of 0.99 and a test accuracy of 0.90.</t>
  </si>
  <si>
    <t>The dataset comprises only approximately 460 samples limited to a single unit-cell topology (Jerusalem cross) and a single sample thickness; the authors plan to extend this to other cell shapes and deeper models in future work.</t>
  </si>
  <si>
    <t>Random Forest / KNN / Decision Tree (classification and regression for unit-cell image prediction)</t>
  </si>
  <si>
    <t>A_Machine_Learning_Approach_for_Design_of_Frequency_Selective_Surface_based_Radar_Absorbing_Material_via_Image_Prediction.pdf</t>
  </si>
  <si>
    <t>Wang et al.</t>
  </si>
  <si>
    <t>Design of composite reactive resonance shielding coil for EV-WPT system based on hybrid robust optimization method</t>
  </si>
  <si>
    <t>A composite reactive resonant shielding coil (nanocrystalline material + aluminum plates), designed via robust multi-objective optimization with an Attention-UNet surrogate model, can effectively shield the leakage electromagnetic field of an 11 kW EV-WPT system and ensure personnel exposure safety while maintaining high transfer efficiency even under uncertainty.</t>
  </si>
  <si>
    <t>After shielding, the average induced electric field intensity in the body decreased by 48.38% (by 43.09% in the lungs), the average transfer efficiency increased by 6.46%, and the probability of exceeding the ICNIRP 2010 limit dropped from 43.09% to 0%; the surrogate model combined with MOWOA reduced the optimization computation time from 1958.3 h to 156.8 h.</t>
  </si>
  <si>
    <t>Verification was performed only through simulation; the authors state that in the future they intend to investigate electromagnetic exposure safety mechanisms based on animal studies and to develop more cost-effective shielding structures.</t>
  </si>
  <si>
    <t>Attention-UNet surrogate (uncertainty model) + multi-objective whale optimization algorithm (MOWOA)</t>
  </si>
  <si>
    <t>Design of composite reactive resonance shielding coil for EV-WPT system based on hybrid robust optimization method.pdf</t>
  </si>
  <si>
    <t>Yu et al.</t>
  </si>
  <si>
    <t>Surrounding Active Shielding Coil Design and Efficient Multiobjective Optimization for WPT</t>
  </si>
  <si>
    <t>The proposed surrounding active shielding coil, connected in reverse series with the WPT coil, suppresses the leakage magnetic field of the WPT system without significant efficiency loss and can be rapidly designed using data-driven multi-objective optimization that combines a polynomial-chaos metamodel with the NSGA-II algorithm.</t>
  </si>
  <si>
    <t>On a 300 W WPT system, the shielding coil reduced the leakage magnetic field by 86.97% and the induced electric field in the human body by 65.40%, while the transfer efficiency dropped by only 0.28%; the optimization time was reduced from 983.2 h to 432.4 s.</t>
  </si>
  <si>
    <t>Not stated explicitly: verification was performed only on a laboratory 300 W system with a specific coil geometry; the metamodel is tied to the chosen design space, and transferability to other WPT configurations is not demonstrated.</t>
  </si>
  <si>
    <t>Data-driven polynomial-chaos metamodel + NSGA-II</t>
  </si>
  <si>
    <t>Surrounding_Active_Shielding_Coil_Design_and_Efficient_Multiobjective_Optimization_for_WPT.pdf</t>
  </si>
  <si>
    <t>Zhang et al.</t>
  </si>
  <si>
    <t>Machine learning-assisted rapid electromagnetic design of flexible graphene-based absorptive composites</t>
  </si>
  <si>
    <t>The authors developed the DCPRO (Dielectric Constant Prediction and Reflection Optimization) system, which uses a machine learning model (Random Forest regression) to predict the electromagnetic properties of flexible graphene absorbing composites from key process parameters and subsequently designs a two-layer impedance-graded structure.</t>
  </si>
  <si>
    <t>The designed two-layer impedance-graded structure achieved broadband absorption (EAB) in the range of 3.29-18 GHz with a minimum reflection loss (RLmin) of -56.08 dB; the approach expanded the prediction database and significantly shortened the research cycle compared to traditional trial-and-error methods.</t>
  </si>
  <si>
    <t>Not stated explicitly in the available excerpt (the discussion/conclusion section is missing from the extracted text); this presumably concerns the dependence of prediction accuracy on the extent and quality of the training data for the specific graphene system.</t>
  </si>
  <si>
    <t>Random Forest regression within the DCPRO system for predicting dielectric properties and optimizing impedance matching</t>
  </si>
  <si>
    <t>old/253 - Machine learning-assisted rapid electromagnetic design of flexible graphene-based absorptive composites.pdf</t>
  </si>
  <si>
    <t>Bharathi V et al.</t>
  </si>
  <si>
    <t>Inverse Design of Ultra-Wideband Frequency Selective Surface Using a Graph Based Conditional Variational Autoencoder Integrated With a Physics Informed Neural Network</t>
  </si>
  <si>
    <t>Integrating a graph-based conditional variational autoencoder (G-CVAE) with a physics-informed neural network (PINN) enables the inverse design of an ultra-wideband bandstop FSS for EMI shielding that is both data-consistent and physically realizable, including angular and polarization stability.</t>
  </si>
  <si>
    <t>The G-CVAE-PINN framework achieves an average error of approximately 3%; the fabricated and measured FSS exhibits a stopband of 8–28 GHz (20 GHz width), a shielding effectiveness of 80 dB, polarization independence, and angular stability up to 75°, with a compact 5×5 mm cell (0.08 λg).</t>
  </si>
  <si>
    <t>Uncertainty quantification shows that predictions near resonant dips (sharp spectral notches) have reduced reliability and must be interpreted with caution; the authors attribute minor measurement deviations to model approximation and manufacturing tolerances.</t>
  </si>
  <si>
    <t>Graph-based conditional variational autoencoder (G-CVAE) + PINN</t>
  </si>
  <si>
    <t>Inverse_Design_of_Ultra-Wideband_Frequency_Selective_Surface_Using_a_Graph_Based_Conditional_Variational_Autoencoder_Integrated_With_a_Physics_Informed_Neural_Network.pdf</t>
  </si>
  <si>
    <t>Duan et al.</t>
  </si>
  <si>
    <t>Machine Learning-Based Prediction of Shielding Effectiveness for Apertures in Irregular Cavities</t>
  </si>
  <si>
    <t>The authors propose an ML model that uses a neural network to map the response of a scaled-up aperture model onto the response of the actual small aperture, enabling fast prediction of the shielding effectiveness of irregular cavities without the need for fine meshing in a full EM simulation.</t>
  </si>
  <si>
    <t>The trained neural network can reproduce the time-domain electric field waveforms inside the cavity with high accuracy (e.g., for an aperture width of 8 cm), in good agreement with the reference data; the authors do not report specific numerical errors (dB, %) in the abstract/introduction.</t>
  </si>
  <si>
    <t>Not stated explicitly: the method was verified only for a limited range of aperture sizes in a single cavity configuration (aircraft bay), and generalization to other geometries and materials was not discussed in the extracted text.</t>
  </si>
  <si>
    <t>Neural network (regression surrogate model for large-to-small aperture mapping)</t>
  </si>
  <si>
    <t>Machine_Learning-Based_Prediction_of_Shielding_Effectiveness_for_Apertures_in_Irregular_Cavities.pdf</t>
  </si>
  <si>
    <t>Himagireesh et al.</t>
  </si>
  <si>
    <t>Ensemble machine learning framework for predicting and optimizing electromagnetic shielding of Al 6061 hybrid metal matrix composites</t>
  </si>
  <si>
    <t>A weighted-average ensemble of five ML algorithms can quickly and accurately predict the shielding effectiveness of Al 6061–SiC–fly ash hybrid composites and, together with feature-importance analysis, replace costly trial-and-error development of EMI shielding materials.</t>
  </si>
  <si>
    <t>The ensemble model (WAE) achieved R² = 0.981 and outperformed the individual algorithms; frequency, transmission coefficients, and electrical conductivity were identified as the most important parameters; PDP/ICE analyses provided interpretable design recommendations for balancing dielectric and conductive losses.</t>
  </si>
  <si>
    <t>Not stated explicitly: the framework is limited to a single material system (Al 6061–SiC–fly ash), the dataset is not publicly available, and the predictions are not validated by an independent experiment outside the training data.</t>
  </si>
  <si>
    <t>Weighted average ensemble (WAE) of five ML models + feature importance, PDP/ICE</t>
  </si>
  <si>
    <t>Ensemble machine learning framework for predicting and optimizing electromagnetic shielding of Al 6061 hybrid metal matrix composites.pdf</t>
  </si>
  <si>
    <t>Hossen et al.</t>
  </si>
  <si>
    <t>Machine Learning-Optimized High EMI Shielding Material Design for X-Band Satellite Electronics</t>
  </si>
  <si>
    <t>The authors present an ML-assisted design methodology for a compact metasurface EMI shielding structure for the X-band, in which a regression optimization framework efficiently fine-tunes the unit-cell geometric parameters.</t>
  </si>
  <si>
    <t>The optimized structure achieves a shielding effectiveness of 57 dB at 10.2 GHz (S21 = -57 dB) with a subwavelength cell size of 3.2 mm, and stable broadband shielding over the 6-18 GHz range.</t>
  </si>
  <si>
    <t>Not stated explicitly: the work is based solely on simulations without experimental verification of a prototype; an analysis of the effect of manufacturing tolerances is missing.</t>
  </si>
  <si>
    <t>Regression-based ML optimization of metasurface geometric parameters</t>
  </si>
  <si>
    <t>Machine_Learning-Optimized_High_EMI_Shielding_Material_Design_for_X-Band_Satellite_Electronics.pdf</t>
  </si>
  <si>
    <t>Kalantarnia et al.</t>
  </si>
  <si>
    <t>Machine Learning Approach for Predicting Electromagnetic Shielding Effectiveness of Metallic Grids in the Time and Frequency Domains</t>
  </si>
  <si>
    <t>MLP neural networks trained on full-wave simulations (FIT/CST) can predict the shielding effectiveness of metal meshes in both the time domain (TDSE) and frequency domain (FDSE) from five structural and material parameters, and serve as a surrogate for fast design optimization against EMP-type transient events.</t>
  </si>
  <si>
    <t>For TDSE prediction, the model achieved an RMSE of 0.02215 and R² = 0.9846; FDSE predictions in the 1–4 GHz band agree with CST with a maximum error below 1.1 dB; surrogate optimization found a design in 39 s versus 630 s for the Trust Region method in CST, at comparable accuracy.</t>
  </si>
  <si>
    <t>Not stated explicitly: the datasets originate exclusively from simulations without experimental validation; FDSE is covered only in the 1–4 GHz band, and the conclusions apply to the investigated type of metal mesh on a dielectric substrate.</t>
  </si>
  <si>
    <t>MLP neural network + NN surrogate optimization</t>
  </si>
  <si>
    <t>IET Science Measure   Tech - 2026 - Kalantarnia - Machine Learning Approach for Predicting Electromagnetic Shielding.pdf</t>
  </si>
  <si>
    <t>Machine Learning-Accelerated Discovery of High-Performance Insulating Electromagnetic Interference Shielding Composites for Integrated Electronics</t>
  </si>
  <si>
    <t>The authors propose an ML framework (ANN) combined with finite-element simulations and SHAP analysis, which reveals that uniformly distributed fillers significantly increase the induced current in microcapacitors compared to the commonly used non-uniform fillers, leading to a design rule for electrically insulating EMI shielding composites.</t>
  </si>
  <si>
    <t>The ANN model achieved the lowest MSE (6.2±0.1) and MRE (2.6±0.1%) compared to RF, DT, LR, EN, and SVR (MSE 81.7–98.4); a composite fabricated with uniform Ga particles based on the revealed rule achieved a shielding effectiveness above 90 dB in the Ka-band, a thermal conductivity of 3.7±0.1 W/m·K, and a resistivity of 1.7×10^12 Ω·m over the range −196 to 200 °C.</t>
  </si>
  <si>
    <t>Not stated explicitly: the work focuses on a single specific mechanism (microcapacitors) and a single filler type (Ga particles); the transferability of the derived rules to other material systems has not been experimentally verified.</t>
  </si>
  <si>
    <t>ANN (combined with SHAP analysis and FEM simulations)</t>
  </si>
  <si>
    <t>Advanced Materials - 2025 - Liu - Machine Learning‐Accelerated Discovery of High‐Performance Insulating Electromagnetic.pdf</t>
  </si>
  <si>
    <t>Nivedhitha et al.</t>
  </si>
  <si>
    <t>Development and Optimisational Study of Porous PVDF/Ag/BaTiO3/Gr Nanocomposite Foams for Effective Electromagnetic Interference Shielding Applications Using Statistical and Machine Learning Approaches</t>
  </si>
  <si>
    <t>The paper combines a statistical method (RSM/CCD) with an optimization algorithm (Gradient Descent Algorithm, GDA) to predict shielding effectiveness (SE) and to find the optimal filler composition (Ag, BaTiO3, Gr) of a porous PVDF nanocomposite foam for EMI shielding in the X-band.</t>
  </si>
  <si>
    <t>The best sample (2.5 g Ag, 2.5 g BaTiO3, 0.2 g Gr, porosity 95.6%, crystallinity 64.9%) achieved a maximum shielding effectiveness of 35.9 dB in the 8–12 GHz band; both RSM and GDA predictions agreed with the experiment with a mean absolute percentage error below 2%.</t>
  </si>
  <si>
    <t>Not stated explicitly: in the "future work" section, the authors mention that the long-term durability, mechanical strength, and thermal stability of the foam under real operating conditions, as well as the scalability of the manufacturing process, have not been verified.</t>
  </si>
  <si>
    <t>RSM (CCD) + Gradient Descent Algorithm (GDA) for SE prediction and optimization</t>
  </si>
  <si>
    <t>DEVELOPMENT AND OPTIMISATIONAL STUDY OF POROUS PVDF:Ag:BaTiO3:Gr NANOCOMPOSITE FOAMS FOR EFFECTIVE ELECTROMAGNETIC INTERFERENCE SHIELDING APPLICATIONS USING STATISTICAL AND MACHINE LEARNING APPROACHES.pdf</t>
  </si>
  <si>
    <t>Machine Learning-Empowered Electromagnetic Wave Absorbing Materials: From Forward Prediction to Generative Inverse Design</t>
  </si>
  <si>
    <t>This review article argues that machine learning is transforming research on electromagnetic absorbing materials from an empirical trial-and-error approach into data- and knowledge-driven design — ranging from forward property prediction to generative inverse design of absorbers.</t>
  </si>
  <si>
    <t>It systematically reviews applications of classical ML, deep learning, generative and physics-informed models, LLMs, and AI agents in forward prediction, high-throughput screening, inverse design, EM parameter decomposition, explainability, multi-objective optimization, and data augmentation for absorbers; it presents physical limits (Rozanov, Snoek) as a framing context.</t>
  </si>
  <si>
    <t>The authors identify the main challenges of the field as the lack of data standardization and the need for physics-guided learning, foundation models, autonomous laboratories, and validation at engineering scale.</t>
  </si>
  <si>
    <t>Review: classical ML, deep learning, generative models (GAN/VAE/diffusion), PINN, LLM/AI agents</t>
  </si>
  <si>
    <t>Machine Learning-Empowered Electromagnetic Wave Absorbing Materials From Forward Prediction to Generative Inverse Design.pdf</t>
  </si>
  <si>
    <t>Santhosh Kumar et al.</t>
  </si>
  <si>
    <t>Artificial Intelligence driven design optimization of the additive manufacturing parameters for making wireless charging magnetic shield</t>
  </si>
  <si>
    <t>The study combines FE simulations with ANN surrogate models and a multi-objective genetic algorithm to optimize the process parameters of LPBF additive manufacturing (laser power, scanning speed, layer thickness, substrate temperature, hatch spacing, beam diameter) for producing magnetic shielding for EV wireless charging, with the goal of minimizing residual stress and deformation.</t>
  </si>
  <si>
    <t>The ANN surrogate models achieved high correlation coefficients for predicting residual stress and deformation; the multi-objective GA found Pareto-optimal solutions, e.g., residual stress of 1412–1870 MPa and deformation of 0.55–0.57 mm depending on the scenario, and FE validation confirmed these values with deviations within practical tolerance (e.g., 1508–1730 MPa, 0.59 mm).</t>
  </si>
  <si>
    <t>Not stated explicitly: finding feasible Pareto solutions required repeated manual adjustment of the design-variable bounds; verified only for a single alloy (AlSi10Mg) and a specific shield geometry.</t>
  </si>
  <si>
    <t>ANN surrogate models + multi-objective genetic algorithm (Pareto optimization)</t>
  </si>
  <si>
    <t>Artificial Intelligence driven design optimization of the additive manufacturing parameters for making wireless charging magnetic shield.pdf</t>
  </si>
  <si>
    <t>Sun et al.</t>
  </si>
  <si>
    <t>Parametric modeling and neural-network-based prediction of cylindrical–spherical-cap magnetic shielding devices</t>
  </si>
  <si>
    <t>The authors develop a fast parametric modeling and prediction framework for cylindrical-spherical magnetic shielding devices, in which a neural network (BPNN) predicts the effective permeability based on geometric parameters and replaces computationally expensive nonlinear finite-element simulations.</t>
  </si>
  <si>
    <t>The model enables fast parametric scanning of effective permeability and was experimentally validated on both small and large magnetic shields; the cylindrical-spherical structure exhibits better magnetic-field homogeneity compared to a conventional rectangular configuration.</t>
  </si>
  <si>
    <t>Not stated explicitly: the exact numerical prediction error of the BPNN model is not given in the extracted text; the model focuses on effective permeability rather than the complete 3D field, and its transferability to materials other than permalloy was not discussed.</t>
  </si>
  <si>
    <t>BPNN (backpropagation neural network) for effective permeability prediction</t>
  </si>
  <si>
    <t>Parametric modeling and neural-network-based prediction of cylindrical–spherical-cap magnetic shielding devices.pdf</t>
  </si>
  <si>
    <t>A Reinforcement Learning-Based Multiphysics Optimization of Composite Material Component With Slot-Structure in UAV System</t>
  </si>
  <si>
    <t>The paper proposes a TD3 reinforcement learning algorithm (ETF-TD3) combined with a predictive convolutional network (ETF-PCNN) for multiphysics (electromagnetic-thermal-flow) optimization of the shielding effectiveness (SE) of slotted composite components in UAV systems.</t>
  </si>
  <si>
    <t>On three types of composite components (UAV frame, two electronics enclosures), ETF-TD3 outperformed PSO and GA in average SE (SE-AUC 0.9019 vs. 0.7564 for PSO and 0.6862 for GA for the UAV frame) and was the only method to simultaneously meet the SE, thermal management, and aerodynamic requirements in all scenarios; on new slot shapes (ellipse, triangle) it achieved an accuracy above 90%.</t>
  </si>
  <si>
    <t>Pretraining the ETF-TD3 agent requires approximately 100 hours of computation; the authors state that future work will focus on improving generalization to more complex systems and other types of composite materials.</t>
  </si>
  <si>
    <t>TD3 (reinforcement learning) + ETF-PCNN (predictive CNN surrogate)</t>
  </si>
  <si>
    <t>A_Reinforcement_Learning-Based_Multiphysics_Optimization_of_Composite_Material_Component_With_Slot-Structure_in_UAV_System.pdf</t>
  </si>
  <si>
    <t>Electromagnetic Shielding Effectiveness Prediction of Stacked Chassis Based on Snow Ablation Optimizer Algorithm</t>
  </si>
  <si>
    <t>Combining Robinson's equivalent circuit model, BLT equations, and the metaheuristic Snow Ablation Optimizer (SAO) makes it possible to estimate the characteristic parameters of a stacked enclosure from a small number of simulation points and to predict SE at any position on the central axis, thereby overcoming the large errors of classical analytical approaches for complex cavities.</t>
  </si>
  <si>
    <t>From five interior points simulated in CST, the equivalent-model parameters were estimated using SAO; the predicted SE curves along the axis agree well with the full-wave simulation, and the method identifies the optimal SE distribution along the frequency axis for placing sensitive equipment, at significantly lower computational cost.</t>
  </si>
  <si>
    <t>Not stated explicitly: the method is verified only through simulation for a single type of stacked enclosure and for a vertically polarized, normally incident plane wave; experimental validation is lacking.</t>
  </si>
  <si>
    <t>Snow Ablation Optimizer (SAO) + Robinson's equivalent model and BLT equations</t>
  </si>
  <si>
    <t>Electromagnetic Shielding Effectiveness Prediction of Stacked, Chassis Based on Snow Ablation Optimizer Algorithm.pdf</t>
  </si>
  <si>
    <t>Wu et al.</t>
  </si>
  <si>
    <t>Optimization Design of Active and Passive Hybrid Shielding for Electric Vehicle's Wireless Power Transfer System</t>
  </si>
  <si>
    <t>The authors propose a hybrid active-passive shielding structure (surrounding active coils + a ferrite-slotted passive layer) to suppress magnetic-field leakage in an electric-vehicle WPT system, and combine an extreme learning machine (ELM) surrogate model with multi-objective optimization for the shielding structure design.</t>
  </si>
  <si>
    <t>According to numerical simulations, the proposed solution simultaneously maintains the system's transfer efficiency and reduces magnetic leakage in all directions, thereby improving electromagnetic exposure safety for the human body; specific numerical SE/efficiency values are not given in the extracted text.</t>
  </si>
  <si>
    <t>Not stated explicitly: the work is based solely on numerical simulation without an experimental prototype; the ELM surrogate model was trained on a limited set of configurations.</t>
  </si>
  <si>
    <t>Extreme Learning Machine (ELM) as a surrogate model + multi-objective optimization algorithm</t>
  </si>
  <si>
    <t>Optimization Design of Active and Passive Hybrid Shielding, for Electric Vehicle’s Wireless Power Transfer System.pdf</t>
  </si>
  <si>
    <t>Chen et al.</t>
  </si>
  <si>
    <t>Modeling and Optimization of EMI Filter by Using Artificial Neural Network</t>
  </si>
  <si>
    <t>The proposed partially connected ANN enables accurate and fast modeling of the insertion loss of an EMI filter, including high-frequency coupling, without the need for parasitic parameter extraction, and, in conjunction with a genetic algorithm, enables efficient optimization of the filter component selection.</t>
  </si>
  <si>
    <t>The simulated and measured insertion loss of the optimized filter agree within the 100 kHz-108 MHz band with a maximum error of 6.8 dB (at 441 kHz); the GA optimization over the ANN model takes only a few minutes, and the resulting filter meets the requirement with a margin of over 6 dB across the entire band.</t>
  </si>
  <si>
    <t>The authors report an increase in training computational cost with the number of filter parameters considered, a risk of ANN overfitting for an unsuitable choice of training parameters, and validation only on a common-mode filter; DM filters with more pronounced coupling require further research.</t>
  </si>
  <si>
    <t>B - EMI/emission modeling and prediction</t>
  </si>
  <si>
    <t>Partially connected ANN + GA</t>
  </si>
  <si>
    <t>old/269 - Modeling and Optimization of EMI Filter by Using Artificial Neural Network.pdf</t>
  </si>
  <si>
    <t>Shu et al.</t>
  </si>
  <si>
    <t>An Equivalent Dipole Model Hybrid With Artificial Neural Network for Electromagnetic Interference Prediction</t>
  </si>
  <si>
    <t>A hybrid equivalent-dipole model with an ANN can automatically account for multiple reflections and diffraction from surrounding PCB components -- which the traditional dipole model with a free-space Green's function neglects -- when reconstructing an EMI source from a near-field scan, thereby improving the accuracy of the radiated EMI field prediction.</t>
  </si>
  <si>
    <t>The method was validated by both a numerical example and measurement of a patch antenna surrounded by four heat sinks; after training on the scanned near field, the ANN predicted the EMI field in the region of interest in agreement with the reference and better than the traditional dipole model (without providing a summary numerical metric).</t>
  </si>
  <si>
    <t>Not stated explicitly: the authors attribute differences between measurement and simulation to probe positioning errors and uncertainty in substrate permittivity; the model requires a near-field scan and retraining for each specific board layout.</t>
  </si>
  <si>
    <t>ANN + equivalent dipole model (near-field scan)</t>
  </si>
  <si>
    <t>old/261 - An Equivalent Dipole Model Hybrid With Artificial Neural Network for Electromagnetic Interference Prediction.pdf</t>
  </si>
  <si>
    <t>De Ridder et al.</t>
  </si>
  <si>
    <t>Machine-Learning-Based Hybrid Random-Fuzzy Uncertainty Quantification for EMC and SI Assessment</t>
  </si>
  <si>
    <t>The authors propose a hybrid approach combining evidence theory, Bayesian optimization, and polynomial chaos for efficient quantification of combined aleatory and epistemic uncertainty in EMC and signal integrity problems, as a replacement for computationally expensive Monte Carlo/grid-search simulations.</t>
  </si>
  <si>
    <t>The method was verified on two examples (radiated immunity of a twisted-wire pair and crosstalk of a bent differential microstrip) and provided accuracy comparable to the original hybrid MC/GS algorithm with a significantly lower number of required model evaluations (lower computational time according to the cost table).</t>
  </si>
  <si>
    <t>The authors did not provide examples with a higher number of stochastic dimensions, since comparison with the reference MC/GS method would become computationally infeasible in that case.</t>
  </si>
  <si>
    <t>Bayesian optimization (GP regression) + polynomial chaos as a surrogate</t>
  </si>
  <si>
    <t>old/78 - Machine-Learning-Based Hybrid Random-Fuzzy Uncertainty Quantification for EMC and SI Assessment.pdf</t>
  </si>
  <si>
    <t>Prediction of Capacitor's Accelerated Aging Based on Advanced Measurements and Deep Neural Network Techniques</t>
  </si>
  <si>
    <t>The authors propose a conditional deep neural network with dropout for predicting the accelerated aging behavior of capacitors (capacitance, ESR) that are key to EMC compliance (EMI/RFI filtering), based on data from a new continuous measurement method.</t>
  </si>
  <si>
    <t>Thanks to DNN predictions, the measurement time can be shortened from a typical 1000 h to approximately 200 h or less while maintaining high prediction accuracy (high R² values in experimental validation); the method was verified on two types of film capacitors (PET and PP) under thermal and electrical stress.</t>
  </si>
  <si>
    <t>The authors state that prediction accuracy decreases when shorter input measurement sequences are used (fewer measured points), and that the method was verified only on two types of capacitors under specific accelerated aging conditions.</t>
  </si>
  <si>
    <t>Conditional deep neural network (DNN) with dropout</t>
  </si>
  <si>
    <t>old/83 - Prediction of Capacitor’s Accelerated Aging Based on Advanced Measurements and Deep Neural Network Techniques.pdf</t>
  </si>
  <si>
    <t>Basyigit et al.</t>
  </si>
  <si>
    <t>Deep learning for both broadband prediction of the radiated emission from heatsinks and heatsink optimization</t>
  </si>
  <si>
    <t>A deep learning model predicts the resonant frequencies and maximum radiated emissions (EMI) of plate-fin heat sinks in the 2-8 GHz band from geometric parameters, complemented by a Grey Wolf Optimizer (GWO) to find the optimal heat sink geometry with lower EMI.</t>
  </si>
  <si>
    <t>R² reaches values of 0.96 / 0.98 / 0.97 / 0.99 for the quantities f1, f2, REmax1, REmax2; the average prediction deviation is 0.6% relative to simulation and 1.3% relative to measurement, on a dataset of 3888 modeled heat sinks.</t>
  </si>
  <si>
    <t>Not stated explicitly: the model is limited to the parametric space of plate-fin heat sinks in the 2-8 GHz band; validation against real measurements was performed on only two physical heat sinks.</t>
  </si>
  <si>
    <t>DNN + Grey Wolf Optimizer (GWO)</t>
  </si>
  <si>
    <t>old/227 - Deep learning for both broadband prediction of the radiated emission from heatsinks and heatsink optimization.pdf</t>
  </si>
  <si>
    <t>Jiang et al.</t>
  </si>
  <si>
    <t>A Deep Learning Based Macro Circuit Modeling for Black-box EMC Problems</t>
  </si>
  <si>
    <t>A physics-informed deep neural network enables deriving a low-order macro-circuit (PEEC) model of an unknown black-box device from measured near-field data for solving emission and immunity EMC problems.</t>
  </si>
  <si>
    <t>On a proof-of-concept example (10x10 grid, 1000 samples), the DNN achieved good agreement between the predicted node potentials and the true PEEC model values, while a strategy using the magnitude and phase of the displacement current as input reduced the number of input neurons by nearly 50%.</t>
  </si>
  <si>
    <t>Not stated explicitly: validation was carried out only on a simplified lossless PEEC model with a randomly generated trace; real multilayer and lossy structures were not tested.</t>
  </si>
  <si>
    <t>Physics-informed fully connected DNN for the inverse circuit problem</t>
  </si>
  <si>
    <t>old/60 - A Deep Learning Based Macro Circuit Modeling for Black-box EMC Problems.pdf</t>
  </si>
  <si>
    <t>Trinchero et al.</t>
  </si>
  <si>
    <t>Machine Learning Regression Techniques for the Modeling of Complex Systems: An Overview</t>
  </si>
  <si>
    <t>The paper examines the effectiveness of advanced ML regressions (SVM, LS-SVM, Gaussian Process Regression) for building accurate and rapidly evaluable surrogate models that predict output quantities of EMC systems (e.g., a converter's emission spectral envelope) as a function of system parameters.</t>
  </si>
  <si>
    <t>Surrogate models trained on a limited number of samples (L=50-300) accurately reproduce the results of a 10,000-sample Monte Carlo simulation; training takes 200 s for LS-SVM, 11 s for GPR, and 20 s for 2nd-order PCE, with GPR providing 95% confidence intervals that conservatively cover 85.5% of the tested current spectra.</t>
  </si>
  <si>
    <t>Not stated explicitly: the paper is conceived as a review/tutorial study using two illustrative examples; the general validity of the conclusions for a broader class of EMC problems has not been systematically verified.</t>
  </si>
  <si>
    <t>SVM, LS-SVM, and Gaussian Process Regression (surrogate models)</t>
  </si>
  <si>
    <t>Machine_Learning_Regression_Techniques_for_the_Modeling_of_Complex_Systems_An_Overview.pdf</t>
  </si>
  <si>
    <t>Yang et al.</t>
  </si>
  <si>
    <t>A Neuro-Space Mapping Method for Harmonic Interference Prediction of SOIFET Radio Frequency Switches</t>
  </si>
  <si>
    <t>A dynamic neuro-space mapping model that combines a simplified nonlinear capacitive (INC) coarse model with LSTM mapping networks can accurately and quickly predict harmonic interference of SOIFET RF switches, providing guidance for preventing EMI issues already at the RF front-end design stage.</t>
  </si>
  <si>
    <t>The harmonic power prediction achieves a relative error of up to 6.44%; the prediction errors for all three monitored harmonics are below 7% and agree with measurements; the method is significantly more accurate than both static neuro-SM and the INC model alone.</t>
  </si>
  <si>
    <t>The authors state that the model has not yet been generalized to other types of SOIFET switches; they leave the development of a generalizable harmonic-prediction model for different switch types to future work.</t>
  </si>
  <si>
    <t>Dynamic neuro-space mapping with LSTM (+ INC equivalent-circuit coarse model)</t>
  </si>
  <si>
    <t>old/157 - A Neuro-Space Mapping Method for Harmonic Interference Prediction of SOIFET Radio Frequency Switches.pdf</t>
  </si>
  <si>
    <t>Bai et al.</t>
  </si>
  <si>
    <t>Application of Non-Embedded Uncertainty Analysis Methods in Worst Case Estimation of the EMC</t>
  </si>
  <si>
    <t>The article compares four non-embedded uncertainty analysis methods (Monte Carlo, stochastic collocation, stochastic reduced-order model, and a Kriging surrogate model) for estimating worst-case scenarios in EMC problems, such as cable-bundle crosstalk and shielding effectiveness.</t>
  </si>
  <si>
    <t>The Kriging surrogate model requires only 49-81 deterministic simulations compared to 80,000 for Monte Carlo, but for problems with higher nonlinearity its accuracy is substantially worse (e.g., an error of 43.4-69.2 versus the correct value of 1.032); stochastic collocation offers the best trade-off between accuracy and efficiency.</t>
  </si>
  <si>
    <t>The study used only a two-dimensional model of random variables, so the dimension disaster problem for stochastic collocation did not manifest; for higher-dimensional problems, the authors recommend caution and improving the nonlinear capability of the Kriging model.</t>
  </si>
  <si>
    <t>Kriging surrogate model (GPR) compared with Monte Carlo, stochastic collocation, and SROM</t>
  </si>
  <si>
    <t>old/54 - Application of non-embedded uncertainty analysis methods in worst case estimation of the emc.pdf</t>
  </si>
  <si>
    <t>Al Ali et al.</t>
  </si>
  <si>
    <t>Metaheuristic aided structural topology optimization method for heat sink design with low electromagnetic interference</t>
  </si>
  <si>
    <t>The MASTO (metaheuristic-assisted structural topology optimization) method can, in a multiphysics problem, design a heat sink that simultaneously maximizes heat dissipation and minimizes EMI by suppressing the resonant (antenna-like) properties of the finned structure already at the design stage.</t>
  </si>
  <si>
    <t>Optimized 2D heat sink topologies balancing thermal conductivity (including convection) and EMI suppression -- evaluated via impedance mismatch -- were obtained; the designs were fabricated and validated by measurement (VSWR, thermal measurements) in agreement with the simulations, without a summary numerical metric for EMI reduction.</t>
  </si>
  <si>
    <t>Not stated explicitly: the study is limited to 2D arrangements with elongated fins and evaluation of EMI via impedance matching to a known interference frequency; general 3D geometries and broadband excitation are not addressed.</t>
  </si>
  <si>
    <t>MASTO (YUKI metaheuristic) + FEM</t>
  </si>
  <si>
    <t>old/265 - Metaheuristic aided structural topology optimization method for heat sink design with low electromagnetic interference.pdf</t>
  </si>
  <si>
    <t>Zhang</t>
  </si>
  <si>
    <t>Deep learning method for predicting electromagnetic emission spectrum of aerospace equipment</t>
  </si>
  <si>
    <t>The authors propose a deep learning method (an LSTM network with Bayesian hyperparameter optimization) combined with threshold-based data decomposition for predicting the electromagnetic emission spectrum of spacecraft equipment in EMC tests.</t>
  </si>
  <si>
    <t>On three examples (conducted emission of a signal line, conducted emission of a power line, radiated electric-field emission), the predicted emission spectrum matched the test data at a 95% confidence level.</t>
  </si>
  <si>
    <t>The authors note a trade-off between the decomposition threshold setting and computational cost: a lower threshold increases prediction accuracy but requires more computational resources and a longer computation time.</t>
  </si>
  <si>
    <t>LSTM + Bayesian hyperparameter optimization</t>
  </si>
  <si>
    <t>old/53 - Deep learning method for predicting electromagnetic emission spectrum of aerospace equipment.pdf</t>
  </si>
  <si>
    <t>Kiss et al.</t>
  </si>
  <si>
    <t>Machine learning based electric field budgeting methodology for EMC critical systems</t>
  </si>
  <si>
    <t>A surrogate model based on a 3D CNN (U-Net), trained on data from a 3D electromagnetic simulator (CST), predicts the spatial distribution of the electric field within a system from the emissions of individual units and the 3D geometry, enabling fast determination of radiated emission limits (electric field budgeting) for EMC-critical systems, e.g., spacecraft.</t>
  </si>
  <si>
    <t>The trained model predicts new 3D field maps with an MAE error &lt; 3 dB per scene/frequency on the order of milliseconds, compared to the 15-20 minutes (simple geometry) to tens of hours (complex geometry) required for a full EM simulation; it enables thousands of Monte Carlo runs to be performed within a single hour.</t>
  </si>
  <si>
    <t>The model is accurate only within the range of parameters and geometries used during training; it requires extensive simulation-based training data and further fine-tuning on real measurements, which has not yet been performed in this work.</t>
  </si>
  <si>
    <t>3D CNN (U-Net) as a surrogate model for EM simulation</t>
  </si>
  <si>
    <t>old/234 - Machine Learning Based Electric Field Budgeting Methodology for EMC Critical Systems.pdf</t>
  </si>
  <si>
    <t>PGPR-GA hybrid framework for automated EMI filter design</t>
  </si>
  <si>
    <t>The authors propose an automated optimization framework for EMI filter design that combines a piecewise Gaussian process regression (PGPR) surrogate model, capturing the filter's frequency-dependent behavior, with a genetic algorithm (GA) to find an optimal, commercially available (BOM-ready) filter configuration.</t>
  </si>
  <si>
    <t>The PGPR surrogate achieves a coefficient of determination of R²=0.99 when validated on 75 filter configurations, with an uncertainty coverage of 98.3%; the autonomously designed and manufactured filter met the CISPR 32 Class B standard, with a prediction agreement of RMSE = 0.62 dB.</t>
  </si>
  <si>
    <t>The authors state that the framework is currently limited to a single filter topology (Π-type CLC), and recommend future extension with transfer learning for more complex topologies, full multi-objective optimization, and real-time adaptive design using reinforcement learning.</t>
  </si>
  <si>
    <t>Piecewise Gaussian Process Regression (PGPR) surrogate + genetic algorithm (GA)</t>
  </si>
  <si>
    <t>PGPR-GA hybrid framework for automated EMI filter design.pdf</t>
  </si>
  <si>
    <t>Nikiforos et al.</t>
  </si>
  <si>
    <t>An AI-Based Pareto-Driven Cost-Dimension Optimization of EMI filters for DC-DC Converters</t>
  </si>
  <si>
    <t>The paper proposes an AI-assisted Pareto optimization algorithm for the synthesis of passive EMI filters for DC-DC converters, which minimizes cost and footprint/volume while ensuring the required EMI attenuation and system stability, using real catalogs of commercial components.</t>
  </si>
  <si>
    <t>On two commercial boards (TI LM25149-Q1EVM-2100, ST STEVAL-L3751V12), the algorithm found solutions that outperformed the reference designs in both cost and footprint/volume simultaneously; an auxiliary MLP classifier for estimating computational cost achieved an accuracy of 98.7%.</t>
  </si>
  <si>
    <t>Not stated explicitly: the method was verified only on two specific buck-converter boards and a component dataset from a single distributor (Mouser); generality for other converter topologies was not tested.</t>
  </si>
  <si>
    <t>MLP feasibility-range classifier + Pareto-dominance optimization</t>
  </si>
  <si>
    <t>An_AI-Based_Pareto-Driven_Cost-Dimension_Optimization_of_EMI_filters_for_DC-DC_Converters.pdf</t>
  </si>
  <si>
    <t>Tulumbaci et al.</t>
  </si>
  <si>
    <t>Deep Surrogate Modeling for Conducted EMI Prediction and Filter Optimization in a Three-Level NPC Inverter: From Experimental Data to Compliance-Aware Design</t>
  </si>
  <si>
    <t>The study proposes an experimentally grounded framework with deep surrogate models (ANN, CNN, DNN, PINN) for predicting conducted EMI in a three-phase NPC converter with an active harmonic filter, and their use in optimizing a filter that meets regulatory emission limits.</t>
  </si>
  <si>
    <t>CNN achieved the most consistent and stable predictive performance among the models; surrogate-driven optimization improved the worst-case regulatory emission margin by 15.20 dBµV (from −3.7 dBµV before optimization to 7.26–11.50 dBµV for the verified optimized designs).</t>
  </si>
  <si>
    <t>The authors state that a low aggregate model error does not guarantee physically plausible spectral behavior, which was particularly evident in the "standby peak" scenario, where the spectral structure is difficult to learn.</t>
  </si>
  <si>
    <t>ANN/CNN/DNN/PINN surrogate models for conducted EMI prediction</t>
  </si>
  <si>
    <t>Deep Surrogate Modeling for Conducted EMI Prediction and Filter Optimization in a Three-Level NPC Inverter From Experimental Data to Compliance-Aware Design.pdf</t>
  </si>
  <si>
    <t>Deschrijver et al.</t>
  </si>
  <si>
    <t>Automated Near-Field Scanning Algorithm for the EMC Analysis of Electronic Devices</t>
  </si>
  <si>
    <t>The authors propose an automated sequential sampling algorithm with a Kriging surrogate model that minimizes the number of measurement points needed to characterize the electromagnetic near field of electronic devices for EMC analysis purposes.</t>
  </si>
  <si>
    <t>The method was successfully verified on both simulated and measured printed circuit board examples, where it achieved highly accurate reconstruction of the near-field zone with a substantially lower number of scan points than conventional uniform sampling.</t>
  </si>
  <si>
    <t>Not stated explicitly: the method was demonstrated only on a limited number of PCB examples; behavior for more complex 3D geometries and higher frequencies was not systematically examined.</t>
  </si>
  <si>
    <t>C - EMC testing, measurement and diagnostics</t>
  </si>
  <si>
    <t>Kriging surrogate model + sequential sampling</t>
  </si>
  <si>
    <t>old/4 -Automated Near-Field Scanning Algorithm for the EMC Analysis of Electronic Devices.pdf</t>
  </si>
  <si>
    <t>Singh et al.</t>
  </si>
  <si>
    <t>Adaptive Classification Algorithm for EMC-Compliance Testing of Electronic Devices</t>
  </si>
  <si>
    <t>The authors present an adaptive classification algorithm that, using sequential sampling and a classification model (LS-SVM/ANN), identifies regions of low/medium/high near-field amplitude during EMC compliance testing with a minimal number of measurements.</t>
  </si>
  <si>
    <t>The method was verified on a measured microstrip line bend, where it enabled accurate delineation of the three interference region classes with a substantially lower number of measurements than a full device scan; the specific percentage of measurement savings is not given in the available text.</t>
  </si>
  <si>
    <t>Not stated explicitly: validation was carried out on only a single test sample (microstrip bend); the general robustness of the method for more complex devices has not been demonstrated.</t>
  </si>
  <si>
    <t>LS-SVM/ANN classification + sequential sampling</t>
  </si>
  <si>
    <t>old/5 -Adaptive classification algorithm for EMC-compliance testing of electronic devices.pdf</t>
  </si>
  <si>
    <t>Tziris et al.</t>
  </si>
  <si>
    <t>Optimized Planar Elliptical Dipole Antenna for UWB EMC Applications</t>
  </si>
  <si>
    <t>The authors propose a planar elliptical dipole antenna for UWB EMC measurements, optimized using the invasive weed optimization (IWO) metaheuristic algorithm and its modified version, compared against PSO and DE.</t>
  </si>
  <si>
    <t>The modified IWO achieved better results than conventional IWO, PSO, and DE in optimizing the antenna's return loss, realized gain, and gain flatness in the 1-5 GHz band, thereby demonstrating superiority over the other methods.</t>
  </si>
  <si>
    <t>Not stated explicitly: the optimization was verified only through simulation (CST) for one antenna type; the performance of the modified IWO on other antenna structures was not tested.</t>
  </si>
  <si>
    <t>Invasive Weed Optimization (IWO) + PSO + DE</t>
  </si>
  <si>
    <t>old/50 - Optimized Planar Elliptical Dipole Antenna for UWB EMC Applications.pdf</t>
  </si>
  <si>
    <t>Nourshamsi et al.</t>
  </si>
  <si>
    <t>Estimating Mean of Maximum Fields Inside Reverberation Chambers Using Deep Neural Networks</t>
  </si>
  <si>
    <t>A deep feedforward neural network (regression model) predicts the mean value of the maximum field inside a nested reverberation chamber (whose distribution deviates from the Rayleigh distribution) as a function of frequency, as an alternative to the traditional estimation using maximum-likelihood estimation of GEV distribution parameters.</t>
  </si>
  <si>
    <t>The network with five hidden layers achieved a training/test mean squared error (MSE) of 325e-5 / 625e-5 and provides results approximately ten times faster than the traditional MLE method, without the need for retraining for new frequency steps.</t>
  </si>
  <si>
    <t>The authors state that the network's performance could be further improved by using an ensemble of networks and Monte Carlo cross-validation, which they leave for future work; the method was validated for only one aperture configuration and would need to be extended to other aperture shapes and measurement positions.</t>
  </si>
  <si>
    <t>Deep feedforward neural network (MLP)</t>
  </si>
  <si>
    <t>old/237 - Estimating Mean of Maximum Fields Inside Reverberation Chambers Using Deep Neural Networks.pdf</t>
  </si>
  <si>
    <t>de São José et al.</t>
  </si>
  <si>
    <t>Improving antenna gain estimations in non-ideal test sites with auto-tunable filters</t>
  </si>
  <si>
    <t>The authors propose a computational tool with automatically tunable adaptive filters optimized using PSO, which improves antenna gain estimation in non-ideal open-area test sites (OATS) used for EMC antenna calibration, without requiring the operator to have signal-processing expertise.</t>
  </si>
  <si>
    <t>The new fitness function for PSO filter optimization achieved a higher average correlation between the filtered and reference (reflection-free) gain curve (0.86 versus 0.81 for the classical MSE fitness), and the method outperformed the traditional time-gating approach, especially at low signal-to-noise ratio, requiring fewer measurements.</t>
  </si>
  <si>
    <t>Not stated explicitly: validation was performed only on a limited number of antennas and two specific measurement facilities (UFMG, IFSTTAR); generalizability to other types of environments, antennas, and frequency bands was not verified.</t>
  </si>
  <si>
    <t>PSO (particle swarm optimization) for tuning adaptive filter parameters and the time-gating window</t>
  </si>
  <si>
    <t>old/126 - Improving antenna gain estimations in non-ideal test sites with auto-tunable filters.pdf</t>
  </si>
  <si>
    <t>Takizawa et al.</t>
  </si>
  <si>
    <t>Estimation of electromagnetic far-field from near-field using machine learning</t>
  </si>
  <si>
    <t>A machine learning model (GBDT/XGBoost) estimates the far-field radiated emissions of a printed circuit board from a near-field scan, which could replace costly anechoic chamber measurements in EMC testing.</t>
  </si>
  <si>
    <t>The RMSPE of the far-field intensity estimate remained consistently below 7.1% in the 1-6 GHz band, with the best value of approximately 4.5% at 1 GHz, based on 2000 training and 500 test samples.</t>
  </si>
  <si>
    <t>The dataset was generated purely by simulation (FDTD method) for a single substrate size and randomly placed conductive traces; the method has not been validated against real measurements.</t>
  </si>
  <si>
    <t>XGBoost (Gradient Boosting Decision Tree)</t>
  </si>
  <si>
    <t>old/222 - Estimation of electromagnetic far-field from near-field using machine learning.pdf</t>
  </si>
  <si>
    <t>Wen et al.</t>
  </si>
  <si>
    <t>Near-Field Prediction in Complex Environment Based on Phaseless Scanned Fields and Machine Learning</t>
  </si>
  <si>
    <t>The authors propose a method based on an artificial neural network (ANN) with Green's functions as input, which predicts the radiated field of an unknown EMI source in a complex environment with multiple reflections from a phaseless (magnitude-only) scanned near field, without the need to measure the field phase.</t>
  </si>
  <si>
    <t>The method was validated by both numerical and measurement experiments (an antenna between two parallel metal plates) and achieved higher accuracy and robustness in predicting the field magnitude on validation planes (2.353 GHz and 3.724 GHz) than the traditional interpolation method and the differential evolution (DE) method.</t>
  </si>
  <si>
    <t>Not stated explicitly: the authors merely note better accuracy compared to the benchmark methods without discussing specific limitations; this presumably concerns the need to predefine the number and position of equivalent dipoles according to the DUT geometry and the scanned field.</t>
  </si>
  <si>
    <t>ANN with Bayesian regularization, Green's function input, phaseless scanned near field</t>
  </si>
  <si>
    <t>old/238 - Near-Field Prediction in Complex Environment Based on Phaseless Scanned Fields and Machine Learning.pdf</t>
  </si>
  <si>
    <t>Elias et al.</t>
  </si>
  <si>
    <t>Experimental Prediction of the Radiated Emission and Final Measurement Process Optimization based on Deep Neural Networks According to EN 55032</t>
  </si>
  <si>
    <t>The authors propose predicting the position of maximum radiated emission (turntable azimuth and antenna height) during the final phase of EMC measurement per the EN 55032 standard using a 1D CNN and a hybrid CNN-LSTM architecture, thereby shortening the measurement time.</t>
  </si>
  <si>
    <t>The model achieved savings of up to 75% in turntable rotation time and 83.29% in antenna height positioning time, at an acceptable position prediction error (on the order of 13-17%); the total duration of the final measurement phase was reduced by up to 40% compared to the R&amp;S EMC32 software.</t>
  </si>
  <si>
    <t>Not stated explicitly: the authors only mention the need for real training data from the Cetecom chamber for specific EUT types; this presumably concerns limited generalization to other device types and frequency ranges outside the trained set.</t>
  </si>
  <si>
    <t>1D CNN and hybrid CNN-LSTM network for predicting the worst-case position in radiated EMI measurement</t>
  </si>
  <si>
    <t>old/243 - Experimental Prediction of the Radiated Emission and Final Measurement Process Optimization based on Deep Neural Networks According to EN 55032.pdf</t>
  </si>
  <si>
    <t>Development and Evaluation of a CNN-LSTM Architecture based Neural Network for Time Optimization during EMI Measurements</t>
  </si>
  <si>
    <t>Similarly to a companion paper by the same authors (per the 47 CFR §15.209 standard instead of EN 55032), the authors propose predicting the worst-case azimuth and antenna height using a 1D CNN and a hybrid CNN-LSTM network to shorten the final phase of EMI measurement.</t>
  </si>
  <si>
    <t>At an acceptable position error (16.78% for 1D-CNN, 8.21% for CNN-LSTM), up to 75% of the turntable rotation time can be saved, and at an antenna height error of 34.03%/19.11%, up to 83.29% of the height positioning time can be saved; overall, up to 50% of the final measurement phase duration can be saved compared to the R&amp;S EMC32 software.</t>
  </si>
  <si>
    <t>Not stated explicitly: similarly to the companion paper, the authors do not state explicit limitations; this presumably concerns dependence on the size and representativeness of the training set of measurements from a specific chamber, and limited transferability to other devices.</t>
  </si>
  <si>
    <t>1D CNN and hybrid CNN-LSTM network for predicting the worst-case EUT position in radiated EMI measurement</t>
  </si>
  <si>
    <t>old/244 - Development and Evaluation of a CNN-LSTM Architecture based Neural Network for Time Optimization during EMI Measurements.pdf</t>
  </si>
  <si>
    <t>Maalouly et al.</t>
  </si>
  <si>
    <t>AI Assisted Interference Classification to Improve EMC Troubleshooting in Electronic System Development</t>
  </si>
  <si>
    <t>The authors use a deep neural network to classify different PCB designs based on their simulated electromagnetic frequency spectra obtained from near-field-to-far-field transformation, in order to identify the probable cause of EMC limit exceedance.</t>
  </si>
  <si>
    <t>The best model (4 layers, 128 neurons, 100 input features after PCA) achieved 99.88% accuracy, 99.89% precision, 99.86% recall, and 99.88% F1 score on test data from 22 PCB design classes.</t>
  </si>
  <si>
    <t>The authors state that the model was trained only on synthetic (simulated) data and needs to be verified on real measurements of manufactured PCBs; furthermore, multiple parameters were varied simultaneously in the experiment, which complicates unambiguous identification of the error cause.</t>
  </si>
  <si>
    <t>Deep neural network (DNN) + PCA for dimensionality reduction</t>
  </si>
  <si>
    <t>old/86 - AI Assisted Interference Classification to Improve EMC Troubleshooting in Electronic System Development.pdf</t>
  </si>
  <si>
    <t>Field Deviation in Radiated Emission Measurement in Anechoic Chamber for Frequencies up to 60 GHz and Deep Learning-Based Correction</t>
  </si>
  <si>
    <t>A hybrid deep learning model (CNN + transformer) corrects the radiated emission (RE) measurement deviation in an anechoic chamber caused by the mismatch between the receiver's vertical scanning plane and the actual wavefront, at frequencies up to 60 GHz.</t>
  </si>
  <si>
    <t>The average correction error is 6.35% for a 3 m distance in a semi-anechoic chamber and less than 4.83% for the other tested scenarios.</t>
  </si>
  <si>
    <t>Not stated explicitly: the method was validated only for specific chamber geometries and measurement distances up to 60 GHz, and it depends on a large training dataset from simulations/measurements.</t>
  </si>
  <si>
    <t>CNN + transformer (hybrid deep learning)</t>
  </si>
  <si>
    <t>old/220 - Field Deviation in Radiated Emission Measurement in AnechoicChamber for Frequencies up to 60 GHz and Deep Learning-Based Correction.pdf</t>
  </si>
  <si>
    <t>Zhao et al.</t>
  </si>
  <si>
    <t>Predict and Eliminate EMI Signals for RF Shielding-Free MRI via Simultaneous Sensing and Deep Learning</t>
  </si>
  <si>
    <t>The authors propose a method combining simultaneous EMI sensing with reference coils and deep learning (CNN), which predicts and removes the EMI signal from the received MRI data, thereby enabling MRI scanner operation without an RF-shielded room.</t>
  </si>
  <si>
    <t>The method reliably removed EMI from various external and internal sources on both a 0.055 T and a 1.5 T MRI scanner; the resulting image SNR was comparable (within about 5%) to images acquired in a fully shielded room.</t>
  </si>
  <si>
    <t>Not stated explicitly: the short conference paper does not include a separate limitations section; this presumably concerns the need to train the CNN model for each measurement/coil configuration, and validation so far limited to only two scanner types.</t>
  </si>
  <si>
    <t>5-layer CNN (convolution + batch normalization + ReLU) for predicting the EMI signal from reference sensing coils</t>
  </si>
  <si>
    <t>old/240 - Predict and Eliminate EMI Signals for RF Shielding-Free MRI via Simultaneous Sensing and Deep Learning.pdf</t>
  </si>
  <si>
    <t>Stiemer</t>
  </si>
  <si>
    <t>Machine Learning Based Classification and Prediction of Electromagnetic Absorption in Electrical Reverberation Chambers</t>
  </si>
  <si>
    <t>A method combining an autoencoder (for S-parameter dimensionality reduction) with machine learning classification models is intended to rapidly classify devices by their susceptibility to absorbing power from the surrounding EM field in an electromagnetic reverberation chamber, which could be used for fast EMC immunity/shielding testing.</t>
  </si>
  <si>
    <t>For four generic devices under test (monopoles with a known resonant frequency of 1.25-2 GHz), the resonant frequency was identified by fitting a Lorentzian model with a deviation of 3.0-4.3% (R² 27.5-53.9%); the ML classification via the autoencoder itself is described conceptually, with the author deferring comprehensive quantitative results to planned future measurements.</t>
  </si>
  <si>
    <t>Low signal-to-noise ratio (approximately 0 dB) in the raw reverberation chamber data; the method has so far been validated only on a small number of generic samples, and the full ML classification results are not yet presented in this conference paper.</t>
  </si>
  <si>
    <t>Autoencoder (dimensionality reduction) + CNN classification</t>
  </si>
  <si>
    <t>old/233 - Machine Learning Based Classification and Prediction of Electromagnetic Absorption in Electrical Reverberation Chambers.pdf</t>
  </si>
  <si>
    <t>Evaluation of Simulated and Real Measurement Data for AI-based Interference Classification in EMC Applications</t>
  </si>
  <si>
    <t>The study compares real and simulated PCB emission measurements using an autoencoder for dimensionality reduction and Pearson correlation between features and output classes, in order to assess the accuracy and transferability of simulated data for training an AI classifier of EMC problem causes.</t>
  </si>
  <si>
    <t>Real data showed high correlation of features with the output classes frequency and conductor length (r up to 0.9), but low correlation for line impedance, termination, and decaps; no significant correlation (r &lt; 0.3) was found between features of the simulated data and the output classes of the real data, indicating limited transferability of simulated data to real measurements.</t>
  </si>
  <si>
    <t>The authors state that some output classes require additional data transformation due to differing scale and dimensionality between real and simulated data, which limits direct transferability between simulation and reality.</t>
  </si>
  <si>
    <t>Autoencoder (AE) for feature extraction + Pearson correlation analysis</t>
  </si>
  <si>
    <t>old/85 - Evaluation of Simulated and Real Measurement Data for AI-based Interference Classification in EMC Applications.pdf</t>
  </si>
  <si>
    <t>Ninković et al.</t>
  </si>
  <si>
    <t>AI-Assisted Identification of State and Type of Flat-Panel Monitors in the Presence of EM Noise</t>
  </si>
  <si>
    <t>An ensemble of independently trained MLP neural networks can identify the type and state (on/off) of flat-panel monitors from EM emanations measured in a real noisy environment; the proposed frequency sub-band significance analysis additionally automatically selects relevant inputs and simplifies the networks.</t>
  </si>
  <si>
    <t>The method identifies the type and state of the monitor from a set of 12 units with 99% accuracy; the sub-band significance analysis reduced the number of network inputs 7-fold without loss of accuracy and shortened the average training time by nearly 30% (training took about 690 s on a standard PC).</t>
  </si>
  <si>
    <t>When the set of monitors or the measurement setup changes, the networks must be retrained; the computed sub-band significance is affected by the emanations of the other monitors present in the experiment as well as by the measurement setup used (the antennas did not capture emanations below 90 MHz).</t>
  </si>
  <si>
    <t>Ensemble of MLPs (ANN) + automatic selection of significant frequency sub-bands</t>
  </si>
  <si>
    <t>old/217 - AI-Assisted Identification of State and Type of Flat-Panel Monitors in the Presence of EM Noise.pdf</t>
  </si>
  <si>
    <t>Stiemer et al.</t>
  </si>
  <si>
    <t>Enhancing Information Extraction in EMC Measurements through Artificial Intelligence</t>
  </si>
  <si>
    <t>The work describes an ML model of the relationship between PCB design parameters and EMC properties (far-field characteristics) derived from near-field scans, where convolutional autoencoders reduce the high dimensionality of near-field data to a low-dimensional latent space for identifying sources of EMC problems.</t>
  </si>
  <si>
    <t>The work is predominantly methodological/conceptual - it describes the proposed procedure (data augmentation, combination of simulation and measurement, autoencoder training, use as a surrogate model for optimization) without providing specific numerical accuracy metrics.</t>
  </si>
  <si>
    <t>Not stated explicitly: quantitative validation of the accuracy of the proposed approach on test data and a discussion of robustness to noise in real measurements are missing.</t>
  </si>
  <si>
    <t>Convolutional autoencoder for near-field data dimensionality reduction + surrogate regression model</t>
  </si>
  <si>
    <t>old/87 - Enhancing Information Extraction in EMC Measurements through Artificial Intelligence.pdf</t>
  </si>
  <si>
    <t>Electromagnetic interference elimination via active sensing and deep learning prediction for radiofrequency shielding-free MRI</t>
  </si>
  <si>
    <t>Extended version of a previous study: a method of active EMI sensing and deep learning (CNN) predicts and removes EMI components from the received MRI signal, thereby enabling MRI operation without RF shielding even on a conventional superconducting scanner.</t>
  </si>
  <si>
    <t>On an unshielded 0.055 T scanner, the method achieved an image SNR comparable to a shielded room and outperformed existing analytical methods (spectral transfer function, EDITER); a preliminary experiment demonstrated functionality also on a 1.5 T scanner with incomplete shielding.</t>
  </si>
  <si>
    <t>Not stated explicitly: the available text does not include a discussion/limitations passage (it consists only of the introduction and reference list); a likely limitation is the need to train a specific CNN model for each scan and dependence on the number and placement of the sensing coils.</t>
  </si>
  <si>
    <t>CNN for predicting EMI from reference sensing coils (extended study relative to the conference paper)</t>
  </si>
  <si>
    <t>old/241 - Electromagnetic interference elimination via active sensing and deep learning prediction for radiofrequency shielding-free MRI.pdf</t>
  </si>
  <si>
    <t>Patel</t>
  </si>
  <si>
    <t>A Deep Learning Approach to Electromagnetic Compatibility Test Signal Prediction Using LSTM Networks</t>
  </si>
  <si>
    <t>The author proposes a conceptual methodological framework using LSTM networks to predict the time-domain characteristics of EMC test signals (transient pulses, modulated sinusoids) in order to speed up and streamline the EMC testing process.</t>
  </si>
  <si>
    <t>This is a purely conceptual/methodological article without experimental implementation or specific numerical results; only the proposed procedure for data collection, preprocessing, LSTM architecture, and evaluation is described.</t>
  </si>
  <si>
    <t>The author explicitly states that this is a conceptual proposal requiring future implementation and validation on real data, and names open questions regarding model generalization, computational complexity, and prediction uncertainty quantification.</t>
  </si>
  <si>
    <t>LSTM (conceptual framework, without implementation)</t>
  </si>
  <si>
    <t>old/81 - A Deep Learning Approach to Electromagnetic Compatibility Test Signal Prediction Using LSTM Networks.pdf</t>
  </si>
  <si>
    <t>Adaptive On-the-Fly Scan Method for Fast and Efficient Planar Near-Field Acquisition</t>
  </si>
  <si>
    <t>Proposes adaptive planar near-field scanning that replaces point-by-point sampling with iterative on-the-fly line scans; the number and placement of lines are dynamically chosen by Bayesian optimization with a GPR surrogate model of the 1-D field aggregate.</t>
  </si>
  <si>
    <t>Both numerical and experimental validation (wire and patch antenna structures): a complete adaptive OTF scan in under 1 minute (about 25 line scans, 1-2 s per line at speeds up to 2 m/s); a GPR-BO iteration takes less than 0.1 s; initialization requires only 4-6 uniform lines.</t>
  </si>
  <si>
    <t>Not stated explicitly: the method is demonstrated at individual frequencies; the authors leave extension to broadband scenarios and fast far-field prediction for future research.</t>
  </si>
  <si>
    <t>Bayesian optimization with a GPR surrogate</t>
  </si>
  <si>
    <t>old/278 - Adaptive On-the-Fly Scan Method for Fast and Efficient Planar Near-Field Acquisition.pdf</t>
  </si>
  <si>
    <t>Schierholz et al.</t>
  </si>
  <si>
    <t>Evaluation of Neural Networks to Predict Target Impedance Violations of Power Delivery Networks</t>
  </si>
  <si>
    <t>The authors present an ANN approach for predicting whether a PDN configuration with randomly placed decoupling capacitors violates the target impedance, showing the effect of the input data preprocessing method (direct method vs. circular/rectangular sectors) on accuracy.</t>
  </si>
  <si>
    <t>The circular sector method achieves the best accuracy of 88%, compared to 86% for rectangular sectors and 75% for the direct method; accuracy remains above 85% even with target impedance variation of -6 to +16 dB, and the network retains usability even when the IC port position shifts, without requiring retraining.</t>
  </si>
  <si>
    <t>Not stated explicitly: the network was trained and tested on a single board topology with a fixed range of decoupling capacitor parameters; robustness against fundamentally different PDN topologies was not verified.</t>
  </si>
  <si>
    <t>D - Signal and power integrity (SI/PI)</t>
  </si>
  <si>
    <t>ANN classifier with input preprocessing (ring/rectangular sector method)</t>
  </si>
  <si>
    <t>old/304 - Evaluation of Neural Networks to Predict Target Impedance Violations of Power Delivery Networks.pdf</t>
  </si>
  <si>
    <t>Scharff et al.</t>
  </si>
  <si>
    <t>ANN Performance for the Prediction of High-Speed Digital Interconnects over Multiple PCBs</t>
  </si>
  <si>
    <t>The authors show that an ANN trained on data from physics-based modeling (PBV) can predict the behavior of complex high-speed interconnects (transmission, FEXT, and weighted power sums) across multiple printed circuit boards up to 100 GHz.</t>
  </si>
  <si>
    <t>The test RMSE reaches 0.0258 (transmission) and 0.0043 (FEXT) for S-parameter prediction; for FOM prediction, the test RMSE values are 10.3 (WPSXT), 194.3 (WPT), and 17.5 (WSXTR); ANNs found via Bayesian optimization do not achieve substantially better results than manual grid search.</t>
  </si>
  <si>
    <t>The authors state that the predictions are not guaranteed to be passive, some datasets exhibit unexpected S-parameter behavior leading to poor predictions, and only magnitude, not phase, is predicted.</t>
  </si>
  <si>
    <t>ANN (feedforward regression) for S-parameter and FOM prediction</t>
  </si>
  <si>
    <t>old/301 - ANN Performance for the Prediction of High-Speed Digital Interconnects over Multiple PCBs.pdf</t>
  </si>
  <si>
    <t>Bayesian Optimization for Signal Transmission Including Crosstalk in a Via Array</t>
  </si>
  <si>
    <t>The authors show that Bayesian optimization can be used to optimize printed circuit board interconnects (vias, via arrays) in terms of transmission and crosstalk, with results compared against a genetic algorithm and physically derived design rules.</t>
  </si>
  <si>
    <t>For a single via, the BO result is comparable to GA; at 15 Gbps, BO achieves a higher result than GA, whereas at 25 Gbps, GA performs better; for via arrays, BO shows a greater dependence on hyperparameters, but the predicted parameters correlate with the results of previous studies.</t>
  </si>
  <si>
    <t>The authors state that for the more complex via array model, there is a greater dependence of the results on the choice of Bayesian optimization hyperparameters, indicating the method's sensitivity for more complex problems.</t>
  </si>
  <si>
    <t>Bayesian optimization (GP with Matérn 5/2 kernel) compared with a genetic algorithm</t>
  </si>
  <si>
    <t>old/302 - Bayesian Optimization for Signal Transmission Including Crosstalk in a Via Array.pdf</t>
  </si>
  <si>
    <t>Comparison of Collaborative versus Extended Artificial Neural Networks for PDN Design</t>
  </si>
  <si>
    <t>The authors compare two approaches for extending ANNs to predict PDN target impedance violations beyond the decoupling capacitor distribution — a collaborative ensemble of multiple ANNs versus a single extended ANN with an additional input parameter — and show that both can compensate for the accuracy loss in the extended design space.</t>
  </si>
  <si>
    <t>The extended ANN achieves comparable accuracy (80-90%) to the collaborative approach but requires 2 to 2.5 times fewer training samples; for target impedance variation, the extended ANN achieves over 90% accuracy with 5% of the training data.</t>
  </si>
  <si>
    <t>The authors state that the need to use the collaborative versus extended approach depends strongly on the specific design space and the effect of the given variation on the PDN, meaning the generalization is not universal.</t>
  </si>
  <si>
    <t>Collaborative vs. extended ANN (feedforward, backpropagation)</t>
  </si>
  <si>
    <t>old/303 - Comparison of Collaborative versus Extended Artificial Neural Networks for PDN Design.pdf</t>
  </si>
  <si>
    <t>Swaminathan et al.</t>
  </si>
  <si>
    <t>Demystifying Machine Learning for Signal and Power Integrity Problems in Packaging</t>
  </si>
  <si>
    <t>A survey/tutorial article explaining the fundamentals of neural networks and Bayesian learning (Gaussian processes, Bayesian optimization) for signal and power integrity (SI/PI) problems in packaging, with an emphasis on intuition and a summary of recent developments and future research directions.</t>
  </si>
  <si>
    <t>As a survey paper, it does not present its own quantitative experiments but summarizes results from cited works (BO finding optimal stack-up designs, ANN models with high accuracy using fewer samples) and provides links to open-source software.</t>
  </si>
  <si>
    <t>Not stated explicitly: this is a survey/tutorial article without its own experimental validation; its scope is determined by a subjective selection of topics cited as current as of 2020.</t>
  </si>
  <si>
    <t>Survey of ANN/DNN and Bayesian learning (GP, BO) for SI/PI modeling and optimization</t>
  </si>
  <si>
    <t>old/305 - Demystifying Machine Learning for Signal and Power Integrity Problems in Packaging.pdf</t>
  </si>
  <si>
    <t>Dolatsara et al.</t>
  </si>
  <si>
    <t>Worst-Case Eye Analysis of High-Speed Channels Based on Bayesian Optimization</t>
  </si>
  <si>
    <t>The authors propose an optimization approach (Worst-eye) using Bayesian optimization and Gray-code-based mapping to quickly find the worst-case eye-diagram characteristics of high-speed channels, including intersymbol interference and crosstalk, without requiring a lengthy transient simulation.</t>
  </si>
  <si>
    <t>The proposed method achieves a speedup of up to 47x in determining eye width and height and up to 23x in determining the overall worst-case eye opening, compared to transient simulation, while maintaining accuracy.</t>
  </si>
  <si>
    <t>Not stated explicitly: the method was validated on a limited number of examples (a SerDes channel on a PCB and a channel in a system-on-package); generalization to other channel types and noise mechanisms was not systematically verified.</t>
  </si>
  <si>
    <t>Bayesian optimization for worst-case eye-diagram estimation (Gray coding)</t>
  </si>
  <si>
    <t>old/306 - Worst-Case Eye Analysis of High-Speed Channels Based on Bayesian Optimization.pdf</t>
  </si>
  <si>
    <t>Evaluation of Support Vector Machines for PCB based Power Delivery Network Classification</t>
  </si>
  <si>
    <t>SVMs can classify whether a PDN on a PCB with a given decoupling capacitor distribution meets the target impedance; preprocessing of input features (ring sectors around IC vias) and adding geometric features fundamentally affect prediction accuracy.</t>
  </si>
  <si>
    <t>The best accuracy is 91.6% (linear spacing, 4 sectors); 90% is already achieved with 14% of the 18,000 samples; the extended SVM with cavity height as an additional feature maintains over 80% accuracy across geometries and performs comparably to an ANN.</t>
  </si>
  <si>
    <t>Prediction accuracy saturates below 92% regardless of the amount of training data and depends strongly on the chosen preprocessing; Not stated explicitly: the data originate from a physics-based model of a simple two-layer structure.</t>
  </si>
  <si>
    <t>SVM (classification, ring-sector preprocessing)</t>
  </si>
  <si>
    <t>old/287 - Evaluation of Support Vector Machines for PCB based Power Delivery Network Classification.pdf</t>
  </si>
  <si>
    <t>SI/PI-Database of PCB-Based Interconnects for Machine Learning Applications</t>
  </si>
  <si>
    <t>The authors present a publicly available database of 78,961 variants of PCB interconnects (SI/PI/EMC) with data from physics-based simulations, intended for training and testing ML techniques, and demonstrate its use with ANN models.</t>
  </si>
  <si>
    <t>The database contains 78,961 samples of various types of PCB interconnects; in example use cases, ANN models predict S-parameters and classify structures with good agreement against reference physical simulations.</t>
  </si>
  <si>
    <t>Not stated explicitly: the database covers only limited types of PCB structures generated by a single physics-based tool; generalization to other technologies and PCB layers is not guaranteed.</t>
  </si>
  <si>
    <t>ANN for S-parameter prediction and structure classification (demonstration use cases on the database)</t>
  </si>
  <si>
    <t>old/61 - SIPI-Database of PCB-Based Interconnects for Machine Learning Applications.pdf</t>
  </si>
  <si>
    <t>Sánchez-Masís et al.</t>
  </si>
  <si>
    <t>ANN Hyperparameter Optimization by Genetic Algorithms for Via Interconnect Classification</t>
  </si>
  <si>
    <t>The authors propose using a genetic algorithm for automatic hyperparameter selection of ANN classifiers for imbalanced classification tasks of via interconnects (impedance deviations, crosstalk), combined with class-balancing techniques (ROS, weighted cross-entropy).</t>
  </si>
  <si>
    <t>The achieved classification accuracy exceeds 97% and the F1 score exceeds 0.88 for both tested tasks (via transition and a 5x5 via array); using weighted cross-entropy improves the F1 score to approximately 0.91-0.92, compared to 0.89 without balancing techniques.</t>
  </si>
  <si>
    <t>Not stated explicitly: GA optimization requires non-trivial computation time (35-80 minutes on a standard PC), and the method was tested only on two specific types of via structures.</t>
  </si>
  <si>
    <t>Genetic algorithm for hyperparameter optimization of an ANN classifier</t>
  </si>
  <si>
    <t>old/299 - ANN Hyperparameter Optimization by Genetic Algorithms for Via Interconnect Classification.pdf</t>
  </si>
  <si>
    <t>Hemaram et al.</t>
  </si>
  <si>
    <t>Computational Intelligence Based Selection and Placement of Decoupling Capacitors: A Comparative Study</t>
  </si>
  <si>
    <t>The authors propose a general computational-intelligence-based framework (metaheuristic algorithms) for the optimal selection and placement of decoupling capacitors in a power delivery network (PDN), aiming to minimize impedance below a target value.</t>
  </si>
  <si>
    <t>A comparative study of seven metaheuristic algorithms (SA, PSO, GA, DE, TLBO, CSO, WO) on a real industrial PDN demonstrated that these methods can effectively reduce the network's self-impedance below the target impedance over the frequency range studied.</t>
  </si>
  <si>
    <t>Not stated explicitly: the comparison was performed on a single industrial PDN case; scalability and computational cost with a substantially larger number of capacitors/ports were not discussed in detail.</t>
  </si>
  <si>
    <t>Metaheuristics: SA, PSO, GA, DE, TLBO, CSO, WO</t>
  </si>
  <si>
    <t>old/51 - Computational Intelligence Based Selection and Placement of Decoupling Capacitors.pdf</t>
  </si>
  <si>
    <t>Kumar et al.</t>
  </si>
  <si>
    <t>Knowledge-Based Neural Networks for Fast Design Space Exploration of Hybrid Copper-Graphene On-Chip Interconnect Networks</t>
  </si>
  <si>
    <t>The authors propose a knowledge-based neural network (KBNN) combining empirical models with full-wave EM simulation to predict the per-unit-length (p.u.l.) parameters (resistance, inductance, capacitance, conductance) of hybrid copper-graphene on-chip interconnects from their geometry, intended for fast SPICE modeling of signal integrity and transient analysis.</t>
  </si>
  <si>
    <t>The KBNN achieves accuracy comparable to a conventional ANN but at significantly lower training cost (fewer required EM simulations), enabling faster exploration of the interconnect design space.</t>
  </si>
  <si>
    <t>Not stated explicitly: the available text does not include a discussion of limitations; the model's generality is presumably limited to the tested technology and geometry of copper-graphene interconnects, and retraining would be required for different material/structural configurations.</t>
  </si>
  <si>
    <t>Knowledge-based artificial neural network (KBNN)</t>
  </si>
  <si>
    <t>old/186 - Knowledge-Based Neural Networks for Fast Design Space Exploration of Hybrid Copper-Graphene On-Chip Interconnect Networks.pdf</t>
  </si>
  <si>
    <t>Parametric S-Parameters for PCB based Power Delivery Network Design Using Machine Learning</t>
  </si>
  <si>
    <t>A methodology using an ANN trained on 10,000 physics-based simulations of parametric S-parameters enables answering PDN design questions (board resonance, target impedance violations), with the data made available in the SI/PI-Database.</t>
  </si>
  <si>
    <t>The ANN predicts board resonance with a mean absolute error of 3.42 MHz and classifies target impedance violations with 97.1% accuracy (51,490 terminated PDNs); the PB model was validated against a FEM solver (30 s vs. 5400 s).</t>
  </si>
  <si>
    <t>The authors discuss limitations of data generation: full exploration of the space (over 10^6 combinations) would require hundreds of days of computation and approximately 16.6 TB of storage, hence a sparse sampling strategy and identification of the required sampling density are necessary.</t>
  </si>
  <si>
    <t>ANN (feed-forward)</t>
  </si>
  <si>
    <t>old/286 - Parametric S-Parameters for PCB based Power Delivery Network Design Using Machine Learning.pdf</t>
  </si>
  <si>
    <t>Fast PDN Impedance Prediction Using Deep Learning</t>
  </si>
  <si>
    <t>Introduces a concept for predicting the PDN impedance curve for an arbitrary board shape, stackup, IC position, and decap placement using a deep neural network trained on more than one million boards generated by a fast boundary element method (BEM).</t>
  </si>
  <si>
    <t>The trained DNN predicts impedance in about 0.1 s -- more than 100 times faster than BEM and 5000 times faster than full-wave simulation -- and generalizes to new board configurations; the BEM reference agrees with HFSS (5 s vs. over 5 minutes).</t>
  </si>
  <si>
    <t>Not stated explicitly: a quasi-static BEM model and demonstration in the low-frequency band (up to about 20 MHz); the DNN's accuracy relative to the reference is described only as tolerable and depends on synthetic, randomly generated boards.</t>
  </si>
  <si>
    <t>DNN (training data from BEM)</t>
  </si>
  <si>
    <t>old/279 - Fast PDN Impedance Prediction Using Deep Learning.pdf</t>
  </si>
  <si>
    <t>Bohl et al.</t>
  </si>
  <si>
    <t>Bayesian Optimization of First-Order Continuous-Time Linear Equalization in High-Speed Links Including Crosstalk</t>
  </si>
  <si>
    <t>The authors propose using Bayesian optimization with a Gaussian process to find optimal CTLE equalizer coefficients for high-speed links, newly including the effect of far-end crosstalk (FEXT) as noise in the model.</t>
  </si>
  <si>
    <t>BO finds the optimal CTLE coefficients within 15-30 iterations, compared to 12,000 combinations for grid search; the achieved FoM values are comparable to or better than grid search (17.92 vs. 17.86) and better than the analytical pulse-shaping method (14.4).</t>
  </si>
  <si>
    <t>Not stated explicitly: the method was verified only on two specific channels with a homoscedastic crosstalk noise model, which may not correspond to more general scenarios.</t>
  </si>
  <si>
    <t>Bayesian optimization (GP surrogate, Noisy Expected Improvement)</t>
  </si>
  <si>
    <t>old/295 - Bayesian Optimization of First-Order Continuous-Time Linear Equalization in High-Speed Links Including Crosstalk.pdf</t>
  </si>
  <si>
    <t>Gao et al.</t>
  </si>
  <si>
    <t>AI-Enhanced Modal Decomposition Method for Fast and Efficient PCB Modeling and Signal Integrity</t>
  </si>
  <si>
    <t>An AI-enhanced modal decomposition method splits high-speed multilayer PCB interconnects into independent modal cells and combines analytical, numerical, and AI methods for their efficient evaluation and signal integrity prediction.</t>
  </si>
  <si>
    <t>On 20 real PCB blocks, the method achieved an average frequency error of 2.3%/1.4% and an amplitude error of 0.3/0.6 dB for the 0-28/28-40 GHz bands compared to measurements.</t>
  </si>
  <si>
    <t>Not stated explicitly: the model was trained on only 3 of the 20 PCB blocks and validation was performed on a limited set of structures; general robustness for significantly different topologies is not demonstrated.</t>
  </si>
  <si>
    <t>AI-based pattern recognition + hybrid analytical-numerical-AI modal decomposition</t>
  </si>
  <si>
    <t>old/63 - AI-Enhanced Modal Decomposition Method for Fast and Efficient PCB Modeling and Signal Integrity.pdf</t>
  </si>
  <si>
    <t>Garbuglia et al.</t>
  </si>
  <si>
    <t>Modeling Electrically Long Interconnects Using Physics-Informed Delayed Gaussian Processes</t>
  </si>
  <si>
    <t>A new delayed Gaussian process (τGP) with a physics-informed periodic kernel, whose fundamental frequencies correspond to tunable propagation delays, enables modeling of wideband, strongly oscillating S-parameters of electrically long interconnects, which standard smooth GP kernels fail to capture.</t>
  </si>
  <si>
    <t>On two application examples, τGP outperforms standard GP, vector fitting, and delayed vector fitting, particularly at high frequencies where the response deviates from a rational approximation; the delays are automatically estimated using a Gabor transform combined with MMLE.</t>
  </si>
  <si>
    <t>The authors state that further effort is needed to extend the model with additional design variables and to enforce physical properties (causality, passivity) on the predictions.</t>
  </si>
  <si>
    <t>GPR with a physics-informed periodic kernel (τGP), Gabor-based delay estimation</t>
  </si>
  <si>
    <t>old/289 - Modeling Electrically Long Interconnects Using Physics-Informed Delayed Gaussian Processes.pdf</t>
  </si>
  <si>
    <t>Modeling S-parameters of Interconnects using Periodic Gaussian Process Kernels</t>
  </si>
  <si>
    <t>The authors propose a new periodic kernel for Gaussian processes that enables accurate modeling of wideband S-parameters of high-speed interconnects exhibiting oscillatory behavior caused by resonances and crosstalk.</t>
  </si>
  <si>
    <t>The new kernel achieves substantially lower prediction error than standard kernels: average error -59 dB (vs. -16 dB for the SE kernel and -15 dB for the Matérn kernel), maximum error -38.7 dB (vs. -11 and -10.7 dB).</t>
  </si>
  <si>
    <t>The authors state that kernel performance depends strongly on correctly estimating the number of periods: underestimation leads to underfitting, while overestimation leads to numerical instability.</t>
  </si>
  <si>
    <t>Gaussian process regression (GPR/kriging) with a new periodic kernel</t>
  </si>
  <si>
    <t>old/296 - Modeling S-parameters of Interconnects using Periodic Gaussian Process Kernels.pdf</t>
  </si>
  <si>
    <t>Ghafarian Shoaee et al.</t>
  </si>
  <si>
    <t>Generating AI modules for decoupling capacitor placement using simulation</t>
  </si>
  <si>
    <t>A data generation and ANN training process that accounts not only for decoupling capacitors but also for the multilayer stackup and PCB power plane size enables prediction of the PDN impedance profile; Bayesian optimization tunes the ANN hyperparameters for higher accuracy.</t>
  </si>
  <si>
    <t>The predicted impedance agrees well with a commercial PI simulator (eCADSTAR); BO tuning reduced the MSE from 1.37 to 0.7 (case 1) and from 1.26 to 0.29 (case 2), with the ANN being substantially faster than commercial PDN software during optimization iterations.</t>
  </si>
  <si>
    <t>The authors state that the ANN's accuracy does not fully match full-wave or other numerical PI simulators; transfer learning and physics-informed ML for PCB structure modifications are left for future work.</t>
  </si>
  <si>
    <t>ANN + Bayesian hyperparameter optimization</t>
  </si>
  <si>
    <t>old/280 - Generating AI modules for decoupling capacitor placement using simulation.pdf</t>
  </si>
  <si>
    <t>Huang et al.</t>
  </si>
  <si>
    <t>Machine Learning Based PCB/Package Stack-up Optimization for Signal Integrity</t>
  </si>
  <si>
    <t>The authors propose a BO-ANN algorithm combining Bayesian optimization with an ANN surrogate model for fast optimization of PCB/package stack-ups (impedance and attenuation), including an effective dielectric constant strategy for generalization to multilayer dielectric stack-ups.</t>
  </si>
  <si>
    <t>After training the ANN on more than 100,000 samples, the relative prediction error is below 1% for impedance Z0 and below 5% for attenuation; the algorithm completes 100 optimization iterations in 40 seconds; the deviation of the optimized Z0 from the target is below 1-2% for practical applications, and the attenuation deviation is below 11%.</t>
  </si>
  <si>
    <t>The trained ANN's prediction error carries over into the difference between the optimization result and verification with a 2D solver; the effective dielectric constant strategy is only a rough estimate, which introduces additional error for multilayer stack-ups.</t>
  </si>
  <si>
    <t>Bayesian optimization + ANN surrogate model (BO-ANN)</t>
  </si>
  <si>
    <t>old/297 - Machine Learning Based PCB--Package Stack-up Optimization for Signal Integrity.pdf</t>
  </si>
  <si>
    <t>Li et al.</t>
  </si>
  <si>
    <t>An Electromagnetic Perspective of Artificial Intelligence Neuromorphic Chips</t>
  </si>
  <si>
    <t>The survey article maps the electromagnetic problems (EMI and signal integrity) of neuromorphic AI chips and summarizes the use of machine learning methods for modeling and optimizing these phenomena in high-speed interconnects and heterogeneous integration.</t>
  </si>
  <si>
    <t>The survey summarizes a number of works demonstrating the successful use of DNN, SVR, and genetic algorithms for predicting package EMI radiation and optimizing the signal integrity of high-speed channels; it is a review without its own new quantitative results.</t>
  </si>
  <si>
    <t>Not stated explicitly: this is a survey article without its own experiment; its limitations are the limited depth of coverage of a rapidly evolving field and the lack of a unified evaluation methodology across the cited works.</t>
  </si>
  <si>
    <t>Survey of ML/DNN methods (DNN, MLP, SVR-AS) and GA optimization for SI/EMI</t>
  </si>
  <si>
    <t>old/39 - An Electromagnetic Perspective of Artificial Intelligence Neuromorphic Chips.pdf</t>
  </si>
  <si>
    <t>Engineering-Informed Design Space Reduction for PCB-Based Power Delivery Networks</t>
  </si>
  <si>
    <t>Engineering-informed reduction of the PCB PDN design space, combining data-driven parameter sensitivity analysis with physics-based stackup reduction, enables generating substantially fewer samples for training ML tools used in the PDN design process.</t>
  </si>
  <si>
    <t>The sampling design space was reduced by three decades, from more than 10^6 to 10^3 points (a reduction of over 1000x); the trained ANNs predict key features of PDN EM behavior and target impedance violations (smallest errors for TI = 0.1 Ω); the data are available in the SI/PI-database.</t>
  </si>
  <si>
    <t>The authors state that the general applicability of the reduction approach to other design problems has yet to be demonstrated; further reduction (sensitivity-based adaptive sampling, reduction of additional parameters) remains to be explored.</t>
  </si>
  <si>
    <t>ANN + data-driven sensitivity analysis</t>
  </si>
  <si>
    <t>old/291 - Engineering-Informed Design Space Reduction for PCB Based Power Delivery Networks.pdf</t>
  </si>
  <si>
    <t>FNNs models for Regression of S-Parameters in Multilayer Interconnects with Different Electrical Lengths</t>
  </si>
  <si>
    <t>Feedforward neural networks with hyperparameters optimized by a genetic algorithm can predict the full S-parameter response (transmission, reflections, crosstalk) of multilayer interconnects; the required model complexity increases with the maximum electrical length of the structure.</t>
  </si>
  <si>
    <t>For shorter structures (le up to approximately 3.1λ), MSE below 3·10⁻⁴; the reliable prediction limit of le ≈ 4.6λ was extended, by enlarging the network (512 neurons per layer), up to 19.2λ (correct prediction up to 24.2 GHz), though the full 40 GHz band was not achieved.</t>
  </si>
  <si>
    <t>The authors state that for long electrical lengths, predictions do not cover the entire band of interest even with a substantially enlarged network; they recommend exploring other architectures (CNN, RNN, LSTM) and surrogate models.</t>
  </si>
  <si>
    <t>FNN + GA hyperparameter optimization</t>
  </si>
  <si>
    <t>old/292 - FNNs Models for Regression of S-Parameters in Multilayer Interconnects with Different Electrical Lengths.pdf</t>
  </si>
  <si>
    <t>Bartels et al.</t>
  </si>
  <si>
    <t>AI-supported PDN Design for PCBs in Automotive Applications</t>
  </si>
  <si>
    <t>The prototype layout tool BerEDA with AI modules supports PDN design for automotive PCBs: a CNN provides real-time impedance prediction and a color-coded guide for decoupling capacitor placement, an RL agent automatically selects decoupling capacitor types and positions, all integrated with commercial tools (ZUKEN eCADSTAR, Altium Designer).</t>
  </si>
  <si>
    <t>The DQN agent with the CNN network solved approximately 87% of the generated test tasks with a response time of 4-6 s; CNN impedance predictions sufficiently agree with the ZUKEN simulator used as ground truth; the reward converged after approximately 8000 training steps.</t>
  </si>
  <si>
    <t>Not stated explicitly: the agent prioritizes speed over optimality and fails to solve approximately 13% of cases; prediction accuracy is tied to the ZUKEN simulator as a reference rather than to measurements.</t>
  </si>
  <si>
    <t>DQN (RL) + CNN impedance prediction</t>
  </si>
  <si>
    <t>old/281 - AI-supported PDN Design for PCBs in Automotive Applications.pdf</t>
  </si>
  <si>
    <t>Hassab et al.</t>
  </si>
  <si>
    <t>Machine Learning Based Data Validation for Signal Integrity and Power Integrity Using Supervised Time Series Classification</t>
  </si>
  <si>
    <t>Proposes an ML alternative to the FSV method (IEEE Std 1597.1) for SI/PI data validation: time-series classifiers trained on expert-labeled data predict the degree of agreement between two curves and enable systematic automated validation of 1-D datasets.</t>
  </si>
  <si>
    <t>The trained network outperforms individual human raters in predicting the average expert score with accuracy above 70%; the framework is supplemented with uncertainty quantification (discrete CDF) for fast validation of large datasets and flagging problematic port pairs.</t>
  </si>
  <si>
    <t>Not stated explicitly: the method depends on subjectively labeled training data from experts and was validated only on frequency-domain SI/PI data; the authors defer extensive generation and testing on time-domain waveforms to future work.</t>
  </si>
  <si>
    <t>Deep networks for time series classification (TSC)</t>
  </si>
  <si>
    <t>old/275 - Machine Learning Based Data Validation for Signal Integrity and Power Integrity Using Supervised Time Series Classification.pdf</t>
  </si>
  <si>
    <t>Application of Gaussian Process Regression for Data Efficient Prediction of PCB-based Power Delivery Network Impedance Features</t>
  </si>
  <si>
    <t>GPR incorporated into active learning and transfer learning loops enables data-efficient prediction of key PDN impedance features as a substitute for expensive EM simulations; reusing data from similar problems (SI/PI database) reduces the number of newly generated samples.</t>
  </si>
  <si>
    <t>For a 4-layer PCB, a normalized RMSE of approximately 2-3% was achieved for resonant features (fr 2.04%, ΔZr 3.1%, Δfs 2.24%); data from a closer subspace speed up convergence; some features (fm 54%, ΔZm &gt;100%) are predicted poorly.</t>
  </si>
  <si>
    <t>The model predicts some key features (the frequency and height of the first local maximum) with low accuracy; the study is limited to a simple 4-layer board with four varied parameters.</t>
  </si>
  <si>
    <t>GPR + active learning + transfer learning</t>
  </si>
  <si>
    <t>old/285 - Application of Gaussian Process Regression for Data Efficient Prediction of PCB-Based Power Delivery Network Impedance Features.pdf</t>
  </si>
  <si>
    <t>Hillebrecht et al.</t>
  </si>
  <si>
    <t>Generation and Application of a Very Large Dataset for Signal Integrity Via Array and Link Analysis</t>
  </si>
  <si>
    <t>Presents the largest SI-analysis dataset to date (approximately 15,000 variants of PCB material and geometry across three via-array-and-trace cases, up to 60 GHz), generated by a physics-based model, and demonstrates its usability for multi-purpose ML analyses without a fixed via pattern.</t>
  </si>
  <si>
    <t>Over 15,000 PCB configurations (more than 450 GB of network parameters) were generated and made available in the SI/PI-Database; GP and ANN models predicting network parameter features are fitted to the data, and the dependence of PCB parameters on the PCI Gen 6 clock rate is analyzed.</t>
  </si>
  <si>
    <t>Not stated explicitly: the data originate exclusively from physics-based simulations (without measurements), and the random placement of signal, power, and ground vias does not correspond to common SI design practice for via arrays.</t>
  </si>
  <si>
    <t>ANN + GPR over a large dataset</t>
  </si>
  <si>
    <t>old/276 - Generation and Application of a Very Large Dataset for Signal Integrity Via Array and Link Analysis.pdf</t>
  </si>
  <si>
    <t>John et al.</t>
  </si>
  <si>
    <t>AI Workbench - Conceptual Workflow to Develop AI Models for SI/PI-Applications in PCB Development</t>
  </si>
  <si>
    <t>The article presents the concept of an "AI Workbench" - a systematic workflow for developing AI/ML models (ANN, RL) for SI/PI applications in PCB design, demonstrated on examples of SI parameter prediction and RL-agent-based optimization of decap placement for a PDN.</t>
  </si>
  <si>
    <t>An RL agent (Advantage Actor Critic) found the optimal placement of three decaps (from a range of 2.2 nF to 100 nF at 16 positions) meeting the target PDN impedance, with the proposed solution remaining valid even under changes in board geometry and IC position.</t>
  </si>
  <si>
    <t>Not stated explicitly: this is a conceptual workflow verified on only two limited example scenarios, without systematic comparison to other optimization approaches and without validation on larger-scale industrial designs.</t>
  </si>
  <si>
    <t>RL (Advantage Actor Critic/A2C) for decap placement + ANN for SI parameter prediction</t>
  </si>
  <si>
    <t>old/84 - AI Workbench - Conceptual Workflow to Develop AI Models for SIPI-Applications in PCB Development.pdf</t>
  </si>
  <si>
    <t>Nezhi et al.</t>
  </si>
  <si>
    <t>Dimensional Reduction by Auto-Encoders in Machine Learning Based Power Integrity Analysis</t>
  </si>
  <si>
    <t>The authors propose a framework combining a one-dimensional convolutional autoencoder (1D-CAE) for dimensionality reduction of the printed circuit board (PCB) design space with a downstream artificial neural network (ANN) for fast prediction of port-to-port impedances in power delivery network (PDN) analysis, including interpretation of parameter influence using SHAP values.</t>
  </si>
  <si>
    <t>The trained autoencoder achieved a mean squared error (MSE) of 0.0198 in reconstructing impedance responses, outperforming the reference vector fitting method, which had an MSE of 0.202; the downstream ANN operating on the latent space enables fast prediction of the Z11, Z12, and Z22 impedances for PDN optimization.</t>
  </si>
  <si>
    <t>The authors report slight overfitting of the network on the training data relative to the validation data, and the need for more extensive hyperparameter tuning instead of manual setting.</t>
  </si>
  <si>
    <t>1D convolutional autoencoder (AE) for dimensionality reduction + ANN surrogate model, SHAP for interpretability</t>
  </si>
  <si>
    <t>old/198 - Dimensional Reduction by Auto-Encoders in Machine Learning Based Power Integrity Analysis.pdf</t>
  </si>
  <si>
    <t>PCB based Power Delivery Network Analysis Using Transfer Learning and Artificial Neural Networks</t>
  </si>
  <si>
    <t>Transfer learning combined with an ANN enables pretraining the model on existing SI/PI database data and then predicting the board resonant frequency using a small number of samples from a new problem, thereby reducing the need to generate new data for PCB PI analysis.</t>
  </si>
  <si>
    <t>Over 30,000 EM simulations of five PCB cases were evaluated; with fewer than 50 training samples for a new case, TL reduces the error by about 2x; lbfgs outperforms adam for small datasets, and limiting fine-tuning to 5 iterations (5-shot) prevents overfitting.</t>
  </si>
  <si>
    <t>The authors observe overfitting with a very small number of samples and longer fine-tuning (100-shot); the benefit of transfer learning appears only when fewer than approximately 50 samples of the new problem are available.</t>
  </si>
  <si>
    <t>ANN + transfer learning</t>
  </si>
  <si>
    <t>old/284 - PCB Based Power Delivery Network Analysis Using Transfer Learning and Artificial Neural Networks.pdf</t>
  </si>
  <si>
    <t>Hernandez-Bonilla et al.</t>
  </si>
  <si>
    <t>Data-Driven Prediction of Temperature-Dependent Dielectric and Conductive Parameters Based On Differential Stripline Characteristics</t>
  </si>
  <si>
    <t>A 1D-CNN trained on simulated modal propagation constants and characteristic impedances of a differential stripline (up to 25 GHz) can predict temperature-dependent parameters of the dielectric (wideband Debye) and conductor (cannonball Huray) material models for 25-125 °C.</t>
  </si>
  <si>
    <t>Normalized RMSE below 5% for all three parameters (ε∞ 3.14%, Δε 2.17%, Rz 1.55%) on 1000 samples; validation outside the training space gives errors of 0.5-4%, except for very low roughness Rz &lt; 1 µm (error approximately 40%).</t>
  </si>
  <si>
    <t>The authors acknowledge a high Rz prediction error for very smooth copper foils (&lt;1 µm) due to sparse training-data coverage of this region; however, the effect on the resulting attenuation is practically negligible.</t>
  </si>
  <si>
    <t>1D-CNN</t>
  </si>
  <si>
    <t>old/283 - Data-Driven Prediction of Temperature-Dependent Dielectric and Conductive Parameters Based on Differential Stripline Characteristics.pdf</t>
  </si>
  <si>
    <t>Unified Pre-Processing Steps Reducing the PCB Design Space to Enable ML Applications for Signal and Power Integrity Analysis</t>
  </si>
  <si>
    <t>Unified preprocessing steps and PCB design space analysis (splitting into SI and PI domains, removing redundancies, and normalizing the representation) enable reduction of the design space and standardization of data for ML applications in SI/PI.</t>
  </si>
  <si>
    <t>Reduction of internal ground layers is valid for PI but fails for SI above 25 GHz; using PML conditions instead of PMC shortens the simulation from 7 h to 25 s; HDBSCAN clustering combined with Delaunay triangulation robustly identifies via arrays and their pitch even for irregular patterns.</t>
  </si>
  <si>
    <t>The authors state that a significant portion of SI parameters (via constellations, via stubs, and pads) was not covered, and that design space reduction cannot be summarized into a generally applicable formula; further investigation is needed.</t>
  </si>
  <si>
    <t>HDBSCAN clustering (+ Delaunay triangulation)</t>
  </si>
  <si>
    <t>old/282 - Unified Pre-Processing Steps Reducing the PCB Design Space to Enable ML Applications for Signal and Power Integrity Analysis.pdf</t>
  </si>
  <si>
    <t>Kaboli et al.</t>
  </si>
  <si>
    <t>Prediction of Metallic Conductor Voltage Owing to Electromagnetic Coupling Via a Hybrid ANFIS and Backtracking Search Algorithm</t>
  </si>
  <si>
    <t>A hybrid ANFIS model, whose training is optimized by the backtracking search algorithm (BSA), can accurately and reliably predict the voltage induced by electromagnetic coupling from an HV line onto parallel metal pipelines (both mitigated and unmitigated), for the design of a mitigation system per IEEE Std 80.</t>
  </si>
  <si>
    <t>Predictions were validated using datasets from the CDEGS software; the hybrid ANFIS-BSA achieves higher accuracy than ANN, SVR, and ANFIS optimized by other well-known optimization algorithms, under changes in system parameters.</t>
  </si>
  <si>
    <t>Not stated explicitly: validation is performed only against CDEGS simulations without field measurements, and for specific configurations of the shared line-pipeline corridor.</t>
  </si>
  <si>
    <t>E - System-level EMC, immunity and exposure</t>
  </si>
  <si>
    <t>ANFIS + backtracking search algorithm (BSA)</t>
  </si>
  <si>
    <t>old/28 - Prediction of Metallic Conductor Voltage Owing to Electromagnetic Coupling Via a Hybrid ANFIS and Backtracking Search Algorithm.pdf</t>
  </si>
  <si>
    <t>Intelligent Electromagnetic Compatibility Management of Cell Phones by Using Knowledge Graphs</t>
  </si>
  <si>
    <t>The paper claims that combining a knowledge graph of interfering and sensitive components on a mobile phone PCB with machine learning methods (LSTM, MLP, Word2vec) enables, for the first time, the automated generation of EMC management reports from interactive query sessions.</t>
  </si>
  <si>
    <t>Entity extraction accuracy reached 75.6% and the F1 score reached 70.9%; two validation experiments demonstrated the feasibility of the method for evaluating EMC coupling between components on the phone PCB (e.g., evaluating interference between traces using triple functions).</t>
  </si>
  <si>
    <t>The authors state that the knowledge graph is currently limited to mobile phones and needs to be extended with additional entities, relationships, and EMC rules for other electronic products; for practical deployment, they are preparing automated entity extraction from CAD files.</t>
  </si>
  <si>
    <t>Knowledge graph (Neo4j) + LSTM + MLP + Word2vec</t>
  </si>
  <si>
    <t>old/258 - Intelligent Electromagnetic Compatibility Management of Cell Phones by Using Knowledge Graphs.pdf</t>
  </si>
  <si>
    <t>Zheng et al.</t>
  </si>
  <si>
    <t>Prediction of MRI RF Exposure for Implantable Plate Devices Using Artificial Neural Network</t>
  </si>
  <si>
    <t>The authors propose a synthesizing framework combining an ANN with the mean impact value (MIV) algorithm for feature selection and a genetic algorithm (GA) for optimizing the network's initial weights and thresholds, for fast prediction of the peak 1g-averaged SAR of multi-configuration implantable plate devices in the MRI environment.</t>
  </si>
  <si>
    <t>Compared to the unmodified ANN, the mean squared error (MSE) of the SAR1g prediction was reduced by 28.06% when using the MIV algorithm and by 55.29% for the complete synthesizing framework; the resulting MSE reached 8.16 W²/kg², and the correlation between the predicted and calculated SAR1g was 0.994 across 576 implant samples.</t>
  </si>
  <si>
    <t>The authors state that the approach has so far been validated on simplified plate implants, and they plan to expand the number and types of training samples, extract more general features for various implants, and account for additional factors affecting RF heating (device position, orientation, RF coil type).</t>
  </si>
  <si>
    <t>ANN with feature selection via the MIV method and optimization of initial weights using a genetic algorithm (GA)</t>
  </si>
  <si>
    <t>old/249 - Prediction of MRI RF Exposure for Implantable Plate Devices Using Artificial Neural Network.pdf</t>
  </si>
  <si>
    <t>Alihodzic et al.</t>
  </si>
  <si>
    <t>Electric and Magnetic Field Estimation Under Overhead Transmission Lines Using Artificial Neural Networks</t>
  </si>
  <si>
    <t>Two feedforward neural networks estimate the electric field intensity and magnetic flux density in the vicinity of high-voltage overhead power lines as a fast substitute for analytical methods (CSM, Biot-Savart law) for exposure assessment.</t>
  </si>
  <si>
    <t>The ANN estimates closely match the results of the charge simulation method (CSM) and the Biot-Savart method, as well as real measurements on two 400 kV lines, for various line configurations, voltages, and currents.</t>
  </si>
  <si>
    <t>The networks are trained for fixed voltage and current values; other values require additional output scaling. Validation is limited to specific line configurations and two real measurements.</t>
  </si>
  <si>
    <t>Feedforward ANN (trained using the scaled conjugate gradient method)</t>
  </si>
  <si>
    <t>old/223 - Electric and Magnetic Field Estimation Under Overhead Transmission Lines Using Artificial Neural Networks.pdf</t>
  </si>
  <si>
    <t>Intelligent Electromagnetic Compatibility Diagnosis and Management With Collective Knowledge Graphs and Machine Learning</t>
  </si>
  <si>
    <t>The authors propose a method for intelligent EMC diagnostics and management based on a "collective knowledge graph" (rule/maxterm/basic unit/entity layers) combined with LSTM for entity extraction from interactive user queries, enabling rapid EMC analysis on the order of seconds instead of traditional simulation.</t>
  </si>
  <si>
    <t>The method improved computational efficiency by 3x, reduced relationship storage requirements by 76% and node-attribute storage by 60.7%, increased entity identification accuracy from 77.7% to 99.5%, and reduced the number of interactive query rounds needed from six to four (a 33.3% improvement) compared to a fully connected knowledge graph.</t>
  </si>
  <si>
    <t>The authors state that users must themselves understand and gather the required information before answering the system's queries, which can be difficult; in the future, they plan automatic acquisition of EMC properties directly from EDA/CAD files.</t>
  </si>
  <si>
    <t>LSTM for entity extraction from text + decision trees for multi-entity extraction + knowledge graph</t>
  </si>
  <si>
    <t>old/89 - Intelligent Electromagnetic Compatibility Diagnosis and Management With Collective Knowledge Graphs and Machine Learning.pdf</t>
  </si>
  <si>
    <t>Automatic AI-Driven Design of Mutual Coupling Reducing Topologies for Frequency Reconfigurable Antenna Arrays</t>
  </si>
  <si>
    <t>The authors propose an automatic AI-driven procedure (PSADEA - surrogate-model-assisted differential evolution) for designing the topology of a parasitic isolator that reduces mutual coupling in a frequency-reconfigurable antenna array, claiming that the approach is general and transferable to other array configurations.</t>
  </si>
  <si>
    <t>Mutual coupling between array elements was reduced by 8 dB in the higher band and 7 dB in the lower band; a prototype was fabricated and measurements agree well with simulations; the total automatic design time was approximately 61.4 hours.</t>
  </si>
  <si>
    <t>Not stated explicitly: the method was verified only on two-element arrays (a ZOR-based array and a frequency-reconfigurable array); generality for more complex or multi-element antenna topologies was not experimentally confirmed, and the design process remains computationally demanding (tens of hours).</t>
  </si>
  <si>
    <t>PSADEA (Gaussian process surrogate model + surrogate-model-assisted differential evolution, with reinforcement learning for adaptive operator selection)</t>
  </si>
  <si>
    <t>old/97 - Automatic AI-Driven Design of Mutual Coupling Reducing Topologies for Frequency Reconfigurable Antenna Arrays.pdf</t>
  </si>
  <si>
    <t>New Development of Electromagnetic Compatibility in the Future: Cognitive Electromagnetic Environment Adaptation</t>
  </si>
  <si>
    <t>The authors propose the concept of "Cognitive Electromagnetic Environment Adaptation" (CEEA), which introduces AI learning into adaptive interference suppression (adaptive notch filter) for RF/electronic devices, inspired by cognitive radio and cognitive EMC (CEMC).</t>
  </si>
  <si>
    <t>This is a conceptual/visionary article without experimental implementation or numerical results; only the principal framework of CEEA operation and its derivation from cognitive radio are described.</t>
  </si>
  <si>
    <t>Not stated explicitly: the CEEA concept has not yet been implemented or verified in real engineering deployment; the authors describe it as a new proposal requiring future development.</t>
  </si>
  <si>
    <t>Conceptual adaptive/RL-like agent learning for interference recognition and suppression (without specific implementation)</t>
  </si>
  <si>
    <t>old/88 - New Development of Electromagnetic Compatibility in the Future Cognitive Electromagnetic Environment Adaptation.pdf</t>
  </si>
  <si>
    <t>Improving the electromagnetic compatibility of electronic products by using response surface methodology and artificial neural network</t>
  </si>
  <si>
    <t>Combining Taguchi parametric design with principal component grey relational analysis (PCA-GRA), response surface methodology (RSM), and an artificial neural network (ANN) makes it possible to optimize a product's EMC properties (radiated and conducted emissions, immunity to electrical fast transients, EFT) already at an early development stage, thereby reducing the number of design changes as well as cost and development time.</t>
  </si>
  <si>
    <t>Both methods (RSM and ANN) led to the same optimal set of parameters: 14 grounding screws, chassis ventilation holes of 3 mm arranged at a 45° angle, and a 390 Ω EMI filter at the interference source; the resulting configuration effectively improves the RE, CE, and EFT immunity of the industrial panel PC so that it meets the test standards.</t>
  </si>
  <si>
    <t>Not stated explicitly: verified only on a single product (industrial panel display computer) with a small experimental design (L9 orthogonal array); generalizability of the optimal parameters to other products is not demonstrated.</t>
  </si>
  <si>
    <t>ANN + RSM (Taguchi DoE, PCA-GRA)</t>
  </si>
  <si>
    <t>old/16 - Improving the electromagnetic compatibility of electronic products by using response surface methodology and artificial neural network.pdf</t>
  </si>
  <si>
    <t>Esmaeili et al.</t>
  </si>
  <si>
    <t>Physics Inspired Artificial Neural Network Adaptation for SAR Prediction in Bio-EM Problems</t>
  </si>
  <si>
    <t>The authors claim that physics-inspired pruning of an ANN enables efficient and accurate prediction of SAR in the human head under exposure to an EM wave at 13.56 MHz, owing to the observed near-linear dependence of SAR on tissue material parameters.</t>
  </si>
  <si>
    <t>The reduced ANN achieves an accuracy of 98-99.8% for eight different head models (versus 96-99.6% for the full ANN) with a substantially lower number of training iterations (e.g., model 8: 1507 vs. 602 iterations).</t>
  </si>
  <si>
    <t>Not stated explicitly: the study is limited to a narrow range of material parameters (±20%) and a single frequency (13.56 MHz); generalization to other frequencies or exposure scenarios was not verified.</t>
  </si>
  <si>
    <t>Physics-inspired pruned feed-forward ANN for regression</t>
  </si>
  <si>
    <t>old/293 - Physics Inspired Artificial Neural Network Adaptation for SAR Prediction in Bio-EM Problems.pdf</t>
  </si>
  <si>
    <t>Nematollahi et al.</t>
  </si>
  <si>
    <t>The Application of the Cholesky-Based Monte Carlo Method to Evaluate Lightning Channel Base Current</t>
  </si>
  <si>
    <t>Combining a genetic algorithm with a Cholesky Monte Carlo method enables the fast generation of statistically representative Heidler function lightning current parameters for EMC/immunity analyses of lightning coupling to lines.</t>
  </si>
  <si>
    <t>For 1000 different lightning currents, the computation time dropped from approximately 1677 s (direct GA solution) to less than 4 s using the Cholesky approach, while maintaining strong agreement with measured statistical distributions.</t>
  </si>
  <si>
    <t>Not stated explicitly: the method is validated only on statistical lightning current data, and its limitation is that the accuracy of the generated parameters depends on the quality of the GA optimization used for the training set.</t>
  </si>
  <si>
    <t>Genetic algorithm (GA) for determining Heidler function parameters + Cholesky decomposition</t>
  </si>
  <si>
    <t>old/55 - The Application of the Cholesky-Based Monte Carlo Method to Evaluate Lightning Channel Base Current.pdf</t>
  </si>
  <si>
    <t>SAR Prediction for Human Head Models Considering Dependencies on Incident Angle of Exposure Using Parameter Prioritization in ANNs</t>
  </si>
  <si>
    <t>The authors combine input parameter prioritization (permutation importance test) with artificial neural networks for predicting SAR in human head tissues, using a significantly smaller number of input parameters while maintaining high accuracy and better physical interpretability, as a function of the incidence angle of NFC antenna exposure.</t>
  </si>
  <si>
    <t>Mass-averaged SAR was predicted with accuracy above 90% (R² 0.94-1.00) using up to 70% fewer input parameters (only the 3 most significant instead of 11) across individual tissues with ±20% uncertainty in electrical properties.</t>
  </si>
  <si>
    <t>Not stated explicitly: the text does not include a separate limitations section; the scope of the study implies a limitation to two simplified head models and one type of NFC antenna at 13.56 MHz, which limits the general validity of the identified priority parameters.</t>
  </si>
  <si>
    <t>Feed-forward ANN with regression and input parameter prioritization via the permutation importance method</t>
  </si>
  <si>
    <t>old/254 -  SAR Prediction for Human Head Models Considering Dependencies on Incident Angle of Exposure Using Parameter Prioritization in ANNs.pdf</t>
  </si>
  <si>
    <t>Efficient Iterative Data Generation Using Evaluation of Prioritized Input Parameters in ANNs for SAR Prediction in Human Head Models at 13.56 MHz</t>
  </si>
  <si>
    <t>Proposes an efficient iterative data-generation strategy combined with input parameter prioritization (feature selection) in an ANN, which determines a sufficient number of full-wave simulations for reliable ML prediction of mass-averaged SAR in human head models at 13.56 MHz.</t>
  </si>
  <si>
    <t>The optimal dataset size is approximately 5-10 times the number of input parameters; ML prediction accuracy exceeds 95-98% with input parameters reduced by up to 70% and time and memory savings of about 50-60% (up to 3500 full-wave simulations were used for seven scenarios).</t>
  </si>
  <si>
    <t>The authors state that more complex scenarios (exposure misalignment, other frequencies, power levels, polarization, angle of incidence) remain for future work; the study is limited to a single frequency of 13.56 MHz and head models derived from the Visible Human project.</t>
  </si>
  <si>
    <t>ANN + feature selection (permutation importance)</t>
  </si>
  <si>
    <t>old/277 - Efficient Iterative Data Generation Using Evaluation of Prioritized Input Parameters in ANNs for SAR Prediction in Human Head Models at 13.56 MHz.pdf</t>
  </si>
  <si>
    <t>Data-Efficient Prediction of the Specific Absorption Rate in a Human Head Model Exposed to a Plane EM Wave Using Gaussian Process Regression</t>
  </si>
  <si>
    <t>The authors use Gaussian process regression with active sampling to predict SAR in a human head model exposed to a plane EM wave (13.56 MHz) with uncertainty in tissue material parameters, thereby replacing costly full-wave simulations and enabling fast identification of the maximum and worst-case exposure.</t>
  </si>
  <si>
    <t>The GPR model achieves R2 &gt; 0.95 (with 20 training samples per tissue); finding the SAR maximum using active sampling requires, on average, one-tenth of the samples compared to random sampling (up to 20 iterations vs. 250); prediction takes milliseconds compared to 32 minutes for a full-wave simulation.</t>
  </si>
  <si>
    <t>Not stated explicitly: the study is limited to a single frequency (13.56 MHz) and a simplified plane-wave irradiation scenario, while a more realistic scenario with a near field from an external implant module is presented as future work.</t>
  </si>
  <si>
    <t>Gaussian process regression (GPR) with active sampling</t>
  </si>
  <si>
    <t>old/307 - Data-Efficient Prediction of the Specific Absorption Rate in a Human Head Model Exposed to a Plane EM Wave Using Gaussian Process Regression.pdf</t>
  </si>
  <si>
    <t>Exploration of Electromagnetic Compatibility Principles Course Based on Artificial Intelligence</t>
  </si>
  <si>
    <t>The authors propose a concept for teaching the course Principles of Electromagnetic Compatibility using artificial intelligence (intelligent teaching platforms, virtual simulations, personalized learning paths) to improve students' practical and innovation skills.</t>
  </si>
  <si>
    <t>This is a conceptual pedagogical proposal without quantitative experimental results; the proposed tools (intelligent teaching platform, virtual simulation software, collaborative tools) are described without measuring their impact on student outcomes.</t>
  </si>
  <si>
    <t>Not stated explicitly: empirical verification of the proposed teaching concept on a real group of students and specific metrics of its effectiveness are missing.</t>
  </si>
  <si>
    <t>General AI tools for teaching (personalization, virtual simulation) - no specific algorithm stated in the text</t>
  </si>
  <si>
    <t>old/82 - Exploration of Electromagnetic Compatibility Principles Course Based on Artificial Intelligence.pdf</t>
  </si>
  <si>
    <t>Michałowska et al.</t>
  </si>
  <si>
    <t>Measurement Systems of Electromagnetic Field for Aircraft with the Use of a Machine Learning Model</t>
  </si>
  <si>
    <t>A new low-cost measurement system for the electric field component of the electromagnetic field is calibrated using a machine learning model (best: K-Nearest Neighbors) against a reference meter, with the aim of measuring crew exposure to the electromagnetic field in an aircraft cockpit.</t>
  </si>
  <si>
    <t>Of the five compared models, the KNN model had the highest accuracy (evaluated using the coefficient of determination, MAE, MSE, RMSE); the calibrated system was tested on five aircraft types (Cessna C172, Aero AT-3 R100, Tecnam P2006T, PZL M28 Bryza, Mi-8 helicopter) against the reference meter NHT3DL.</t>
  </si>
  <si>
    <t>Not stated explicitly: calibration was performed for a specific generator/chamber (GTEM 1000 with a Teseq ITS6006 generator) and validated on only a limited number of aircraft types, which may limit the general validity of the model.</t>
  </si>
  <si>
    <t>K-Nearest Neighbors (KNN), comparison of 5 ML models</t>
  </si>
  <si>
    <t>old/235 - Measurement systems of electromagnetic field for aircraft with the use of a machine learning model.pdf</t>
  </si>
  <si>
    <t>AI Deep Learning Optimization for Compact Dual-Polarized High-Isolation Antenna Using Backpropagation Algorithm</t>
  </si>
  <si>
    <t>An inverse MIMO-BP model (multi-input target characteristics → multi-output dimensional variables) based on a backpropagation network can directly design the dimensions of a compact dual-polarized antenna with high port isolation, faster and with fewer EM simulations than conventional optimization.</t>
  </si>
  <si>
    <t>The designed antenna achieves a port isolation better than 40 dB in the 3.47–3.58 GHz band and a maximum gain of 4.3 dBi on both ports; the entire design took approximately 22.7 h (400 EM simulations), with a model error of 0.84% (training) and 0.95% (test).</t>
  </si>
  <si>
    <t>Not stated explicitly: the method is verified only on a single antenna type with a fixed parametrization of 12 dimensions; the model requires ~400 EM simulations for training, and transferability to other structures is not demonstrated.</t>
  </si>
  <si>
    <t>MIMO-BP inverse neural network (backpropagation, MLP)</t>
  </si>
  <si>
    <t>old/108 - AI Deep Learning Optimization for Compact Dual-Polarized High-Isolation Antenna Using Backpropagation Algorithm.pdf</t>
  </si>
  <si>
    <t>Machine-Learning-Assisted Optimization for Antenna Geometry Design</t>
  </si>
  <si>
    <t>The authors propose the MLAO-AGD method, combining CNN and Gaussian process regression (GPR) as surrogate models for fast evolutionary antenna geometry optimization; the method is used, among other things, to design a decoupling structure (DS) that suppresses mutual coupling between elements of a MIMO antenna.</t>
  </si>
  <si>
    <t>For suppressing mutual coupling between elements of a two-element MIMO antenna, the method, after only 151 EM simulations, improved |S11| to better than -12.27 dB (an increase of 2.36 dB) and |S21| to better than -24.50 dB (an increase of 19.24 dB) compared to a design without a decoupling structure; for a broadband antenna, the method required only 254 simulations versus approximately 50,000 for the classical EGO algorithm.</t>
  </si>
  <si>
    <t>The method requires an initial database (50 samples), and the CNN/GPR surrogate is trained on a small dataset with limited accuracy outside the trained region; the authors state that optimizing the decoupling-structure geometry inevitably degrades the antennas' impedance matching if their dimensions are fixed in advance, meaning the geometry and parameters must be optimized jointly.</t>
  </si>
  <si>
    <t>CNN + Gaussian process regression (GPR) surrogate + binary/real-valued evolutionary optimization (BPSO)</t>
  </si>
  <si>
    <t>old/138 - Machine-Learning-Assisted Optimization for Antenna Geometry Design.pdf</t>
  </si>
  <si>
    <t>Geng et al.</t>
  </si>
  <si>
    <t>A Novel Method for Predicting Antenna Port Electromagnetic Susceptibility Under Broadband Interference via Function-Performance Association</t>
  </si>
  <si>
    <t>The paper proposes a multitask physics-informed neural network (MTL-PINN) based on linking the functional and performance characteristics of a receiver, which predicts the electromagnetic susceptibility (EMS) of the antenna port under broadband interference and extends the CS105 standard.</t>
  </si>
  <si>
    <t>At convergence (1600 samples), MTL-PINN achieved an average percentage error (A-MAPE) of 1.89%, compared to 2.75% for PINN and over 35% for the comparison MTL-DNN models; with a small dataset (700 samples) it achieved an A-MAPE of 4.2% versus 11.2% for PINN; on unseen interference types it achieved a generalization A-MAPE of 3.32%, the best among all compared models.</t>
  </si>
  <si>
    <t>The authors state that future work will focus on improving the model's generalization at low SNR and for complex interference combinations, and on including impulsiveness characteristics and amplitude probability distribution, indicating a current limitation of the model in these scenarios.</t>
  </si>
  <si>
    <t>MTL-PINN (multitask physics-informed neural network)</t>
  </si>
  <si>
    <t>A_Novel_Method_for_Predicting_Antenna_Port_Electromagnetic_Susceptibility_Under_Broadband_Interference_via_Function-Performance_Association.pdf</t>
  </si>
  <si>
    <t>Haque et al.</t>
  </si>
  <si>
    <t>Multiband THz MIMO antenna with regression machine learning techniques for isolation prediction in IoT applications</t>
  </si>
  <si>
    <t>Regression ML models can accurately predict the isolation (mutual coupling and interference suppression) between elements of a multiband THz MIMO antenna for 6G/IoT, thereby replacing time-consuming full-wave EM simulations when assessing mutual interference immunity.</t>
  </si>
  <si>
    <t>The best of the five tested models, Gradient Boosting Regression, achieved an MAE of 4.94%, MSE of 6.60%, and RMSE of 4.13%, with isolation-prediction accuracy above 98%; the designed antenna exhibits isolation better than −32/−44/−45 dB in three bands (6.51; 7.48; 8.46 THz), a gain of 13.53 dBi, and an efficiency above 96.5%.</t>
  </si>
  <si>
    <t>Not stated explicitly: the results are simulation-only (CST/ADS equivalent circuit) without experimental validation of a prototype in the THz band, and the ML models are trained only on simulated data for a specific geometry.</t>
  </si>
  <si>
    <t>Gradient Boosting Regression (best of 5 regression ML models)</t>
  </si>
  <si>
    <t>old/147 - Multiband THz MIMO antenna with regression machine learning techniques for isolation prediction in IoT applications.pdf</t>
  </si>
  <si>
    <t>Electromagnetic magnetic compatibility optimization in mobile communication based on machine learning</t>
  </si>
  <si>
    <t>The paper claims that combining machine learning (SVM prediction of communication behavior and access points, Markov decision process) with an analysis of the EMC measurement system and connectors enables optimal electromagnetic compatibility configuration in 5G mobile communication.</t>
  </si>
  <si>
    <t>A general measurement model and a hardware optimization configuration model of the EMC measurement system were established; the transmission characteristics of cables with lengths of 0.2-1 m up to 2 GHz (|Sdd21|) and connector selection strategies were analyzed; summary quantitative metrics of EMC improvement are not given.</t>
  </si>
  <si>
    <t>Not stated explicitly: the link between the ML prediction of communication traffic and the actual EMC optimization is rather conceptual; a quantitative evaluation of the ML contribution to EMC and validation on real devices are lacking.</t>
  </si>
  <si>
    <t>SVM + Markov decision process</t>
  </si>
  <si>
    <t>old/274 - Electromagnetic magnetic compatibility optimization in mobile communication based on machine learning.pdf</t>
  </si>
  <si>
    <t>Port and radiation pattern decoupled metasurface-loaded patch antenna using deep-learning-assisted optimization for MIMO applications</t>
  </si>
  <si>
    <t>The authors propose a metasurface-loaded patch antenna for MIMO applications that, using deep-learning-assisted optimization (ANN + PSO), simultaneously achieves port decoupling (mutual coupling reduction) and preserves an undistorted radiation pattern for closely spaced antennas.</t>
  </si>
  <si>
    <t>The isolation between ports of the two-element patch antenna increased from 7.6 dB to 24.3 dB, with an envelope correlation coefficient (ECC) &lt; 0.0005 at a spacing of 0.35λ₀ and a measured relative bandwidth of 8% (4.8-5.2 GHz); the H-plane radiation pattern remained consistent and symmetric for both elements.</t>
  </si>
  <si>
    <t>Not stated explicitly: the method was verified only on a 1×2 antenna array with a fixed substrate geometry; generalization to larger MIMO arrays and other frequencies was not discussed in the extracted text.</t>
  </si>
  <si>
    <t>ANN (geometry-to-response surrogate model) + PSO (antenna structure optimization)</t>
  </si>
  <si>
    <t>Port_and_Radiation_Pattern_Decoupled_Metasurface-Loaded_Patch_Antenna_Using_Deep-Learning-Assisted_Optimization_for_MIMO_Applications.pdf</t>
  </si>
  <si>
    <t>EM category</t>
  </si>
  <si>
    <t>Akinsolu et al.</t>
  </si>
  <si>
    <t>Machine Learning-assisted Antenna Design Optimization: A Review and the State-of-the-art</t>
  </si>
  <si>
    <t>A review article summarizes the current state of machine-learning-assisted antenna optimization methods (surrogate-based optimization), focusing on their efficiency and optimization capability for single-objective, multi-objective, multi-fidelity, and yield-driven tasks.</t>
  </si>
  <si>
    <t>This is a review with no original experiments; from the cited literature, the authors report that the SADEA family of algorithms (surrogate model-assisted differential evolution) achieves a 3- to 20-fold speedup over standard global optimization methods.</t>
  </si>
  <si>
    <t>Not stated explicitly as a limitation of the work itself (this is a review); the authors merely recommend, for future use, methods suited to high-dimensional spaces without requiring an initial design as generally the most robust.</t>
  </si>
  <si>
    <t>F1 - Antennas and antenna arrays</t>
  </si>
  <si>
    <t>Review of GP/kriging surrogate models, SADEA (surrogate-assisted differential evolution), space mapping, multi-fidelity kriging</t>
  </si>
  <si>
    <t>old/141 - Machine Learning-assisted Antenna Design optimization A Review and the State-of-the-art.pdf</t>
  </si>
  <si>
    <t>Dong et al.</t>
  </si>
  <si>
    <t>Fast Multi-Objective Optimization of Multi-Parameter Antenna Structures Based on Improved BPNN Surrogate Model</t>
  </si>
  <si>
    <t>The authors propose a sparsely connected backpropagation neural network (SC-BPNN) as a surrogate model, whose structure and weights are tuned by a hybrid real-binary PSO (HPSO), and combine it with a multi-objective evolutionary algorithm for fast optimization of multiple antenna parameters.</t>
  </si>
  <si>
    <t>The proposed SC-BPNN+HPSO surrogate model achieves higher accuracy in predicting antenna behavior and significantly lower computational cost (CPU time) than earlier approaches; demonstrated on the Pareto-optimal design of a compact tri-band planar monopole antenna.</t>
  </si>
  <si>
    <t>The authors state that the computational cost of the proposed method is slightly higher than that of a simpler comparison method (scheme II), even though the prediction accuracy is significantly higher.</t>
  </si>
  <si>
    <t>SC-BPNN surrogate model tuned by hybrid real-binary PSO (HPSO)</t>
  </si>
  <si>
    <t>old/120 - Fast Multi-Objective Optimization of Multi-Parameter Antenna Structures Based on Improved BPNN Surrogate Model.pdf</t>
  </si>
  <si>
    <t>El Misilmani et al.</t>
  </si>
  <si>
    <t>Machine Learning in Antenna Design: An Overview on Machine Learning Concept and Algorithms</t>
  </si>
  <si>
    <t>A review article presents the fundamental concepts of machine learning (supervised, unsupervised, and reinforcement learning) and their algorithms, focusing mainly on their use in antenna design, including a comparison with conventional design methods.</t>
  </si>
  <si>
    <t>No original quantitative results; as an example from the literature, it cites the SADEA method (Gaussian process regression + differential evolution), which accelerated the design and optimization of three antennas by more than 4× compared to differential evolution alone.</t>
  </si>
  <si>
    <t>In the conclusion, the authors identify general challenges of ML in antenna design: selecting a suitable algorithm, problem formulation, obtaining a sufficient amount of training data (requiring many EM simulations), and data preprocessing.</t>
  </si>
  <si>
    <t>Review of ML algorithms (regression, ANN, SVM, KNN, k-means); example: SADEA (GPR + differential evolution)</t>
  </si>
  <si>
    <t>old/134 - Machine Learning in Antenna Design An Overview on Machine Learning Concept and Algorithms.pdf</t>
  </si>
  <si>
    <t>Grout et al.</t>
  </si>
  <si>
    <t>Software Solutions for Antenna Design Exploration: A Comparison of Packages, Tools, Techniques, and Algorithms for Various Design Challenges</t>
  </si>
  <si>
    <t>The article compares 17 optimization methods (in six categories) implemented in antenna design tools (HFSS, CST, FEKO, MATLAB, ADE) on three representative design problems.</t>
  </si>
  <si>
    <t>SADEA achieves the highest quality of results with the fewest EM simulations across all three test problems; CMA-ES, PSO, and DE are less efficient despite comparable global search capability.</t>
  </si>
  <si>
    <t>The performance of the PS, SQP, TRF, N-M, and IQN methods strongly depends on the quality of the initial design; the authors note that the conclusions are based on three selected problems and may not fully generalize to all antenna problems.</t>
  </si>
  <si>
    <t>Comparison of SADEA (surrogate-assisted DE) with PSO, DE, CMA-ES, TRF, N-M, SQP, IQN, PS</t>
  </si>
  <si>
    <t>old/44 - Software Solutions for Antenna Design Exploration A Comparison of Packages, Tools, Techniques, and Algorithms for Various Design Challenges.pdf</t>
  </si>
  <si>
    <t>Koziel et al.</t>
  </si>
  <si>
    <t>Performance-Based Nested Surrogate Modeling of Antenna Input Characteristics</t>
  </si>
  <si>
    <t>The authors propose a two-level (nested) kriging surrogate model for antenna input characteristics, in which the first level defines the domain of the second (final) level of the model, enabling modeling over wide ranges of geometric parameters and performance quantities.</t>
  </si>
  <si>
    <t>Demonstrated on two microstrip antennas, with a favorable comparison against conventional kriging and RBF interpolation; experimental validation on fabricated prototypes showed good agreement between simulated and measured reflection characteristics, with minor frequency shifts.</t>
  </si>
  <si>
    <t>The authors state that the minor differences (frequency shifts) between simulation and measurement are caused by the fact that SMA connectors were not included in the antenna's computational model.</t>
  </si>
  <si>
    <t>Two-level (nested) kriging surrogate model</t>
  </si>
  <si>
    <t>old/132 - Performance-Based Nested Surrogate Modeling of Antenna Input Characteristics.pdf</t>
  </si>
  <si>
    <t>Vincent et al.</t>
  </si>
  <si>
    <t>An Analysis of Metaheuristic Algorithms Used for the Recovery of a Failed Antenna Element in an Antenna Array</t>
  </si>
  <si>
    <t>This work compares seven metaheuristic algorithms (gradient descent, simulated annealing, firefly, bat, flower pollination, cuckoo search, harmony search) for recovering the weight of a failed element in the antenna array of a GB-SAR system.</t>
  </si>
  <si>
    <t>Of all the tested methods, the firefly algorithm achieves the best results in finding the weight of a failed main element in a 2x6 array (a specific numerical error/accuracy value is not given in the available excerpt).</t>
  </si>
  <si>
    <t>Not stated explicitly: the study is limited to a specific 2x6 array geometry and a single-element failure scenario; generalization to multiple failures or other array configurations is not discussed in the text.</t>
  </si>
  <si>
    <t>Comparison of metaheuristics: Firefly, Bat, Flower Pollination, Cuckoo Search, Harmony Search, Simulated Annealing, Gradient Descent</t>
  </si>
  <si>
    <t>old/65 - An Analysis of Metaheuristic Algorithms Used for the Recovery of a Failed Antenna Element in an Antenna Array.pdf</t>
  </si>
  <si>
    <t>Alzahed et al.</t>
  </si>
  <si>
    <t>Electromagnetic Machine Learning for Inverse Modeling Using the Spatial Singularity Expansion Method</t>
  </si>
  <si>
    <t>The authors propose a unified EM-ML approach combining the spatial singularity expansion method (S-SEM) with machine learning for inverse modeling and characterization of antennas, enabling reconstruction of current distribution and geometric parameters of radiators from far-field data.</t>
  </si>
  <si>
    <t>The method successfully reconstructed the parameters (length, orientation) of straight and bent wire antennas and their fields; validation on a fabricated half-wave dipole antenna (1 GHz) in an anechoic chamber showed good agreement between the estimated S-SEM parameters and orientation and measurement, with some deviation in the wire length estimate.</t>
  </si>
  <si>
    <t>The authors state that the deviation in wire length reconstruction is caused by the fact that the exact formula was derived for an ideal thin-wire radiation model, which may not fully hold for the fabricated probe; increasing the S-SEM order improves reconstruction but significantly slows convergence.</t>
  </si>
  <si>
    <t>Spatial Singularity Expansion Method (S-SEM) + ML inverse source model</t>
  </si>
  <si>
    <t>old/219 - Electromagnetic Machine Learning for Inverse Modeling Using the Spatial Singularity Expansion Method.pdf</t>
  </si>
  <si>
    <t>Cui et al.</t>
  </si>
  <si>
    <t>A Modified Efficient KNN Method for Antenna Optimization and Design</t>
  </si>
  <si>
    <t>The authors propose a modified KNN regression method with a self-learning loop that generates additional training data on its own during antenna optimization using a simulator (HFSS), thereby requiring only a very small initial dataset.</t>
  </si>
  <si>
    <t>The method is 5–30× faster than traditional ML methods (ANN, Bayesian optimization); for a three-parameter antenna, only 8 training samples are needed, and for a nine-parameter model, 30 samples; validated on four different antenna examples.</t>
  </si>
  <si>
    <t>The authors state that future work should focus on multi-objective optimization, since the number of training samples required grows with the number of objectives and parameters.</t>
  </si>
  <si>
    <t>Modified KNN regression with self-learning (active) training-data augmentation</t>
  </si>
  <si>
    <t>old/124 - A Modified Efficient KNN Method for Antenna Optimization and Design.pdf</t>
  </si>
  <si>
    <t>A review on the design and optimization of antennas using machine learning algorithms and techniques</t>
  </si>
  <si>
    <t>A comprehensive literature review describing the use of machine learning in antenna design and optimization, including an overview of computational electromagnetics, learning categories, and regression ML models applied to antenna synthesis and analysis.</t>
  </si>
  <si>
    <t>No original quantitative results; this is an extensive review (28 pages) organized by antenna type, summarizing dozens of works using ANN, SVR, GPR, and other regression ML models to predict antenna characteristics.</t>
  </si>
  <si>
    <t>Not stated explicitly: the authors generally mention that the success of ML approaches strongly depends on the quality, quantity, and availability of training data, which must be obtained through simulations because standardized antenna datasets are lacking.</t>
  </si>
  <si>
    <t>Review of regression ML models (SVR, GPR, ANN, etc.) for antenna design and optimization</t>
  </si>
  <si>
    <t>old/119 - A review on the design and optimization of antennas using machine learning algorithms and techniques.pdf</t>
  </si>
  <si>
    <t>Maeurer et al.</t>
  </si>
  <si>
    <t>Antenna Design Exploration and Optimization using Machine Learning</t>
  </si>
  <si>
    <t>The authors show how combining design-space exploration (DoE) with machine learning techniques (RBF neural networks, PCA, evolutionary learning) can substantially accelerate the process of antenna performance analysis and optimization, on three examples with different design- and response-space dimensions.</t>
  </si>
  <si>
    <t>For the blade antenna (p=4, n=4), the RBF regression model reduced the evaluation time from 90 s (simulation) to 20 ms (speedup of approx. 45,000×) with R² up to 0.9999 and median relative error of 0.03–5.3%; for the LTE dual antenna, the ML approach reduced the total optimization time to under 15 hours compared to 40.4 hours for classical optimization; evolutionary learning for a WLAN antenna with 112 binary variables reached, after approx. 4300 simulations, a solution with S11 &lt; −10 dB in both bands (2.44 and 5.2 GHz).</t>
  </si>
  <si>
    <t>The authors state that for high-dimensional discrete design spaces (2^122 combinations for the WLAN antenna), building regression models is computationally very demanding due to the discreteness and strong nonlinearity of the mapping, which is why evolutionary learning must be used instead of classical regression.</t>
  </si>
  <si>
    <t>RBF neural network (surrogate regression) + PCA (dimensionality reduction) + genetic algorithm/MOGA (evolutionary learning)</t>
  </si>
  <si>
    <t>old/148 - Antenna Design Exploration and Optimization using Machine Learning.pdf</t>
  </si>
  <si>
    <t>Pietrenko-Dabrowska et al.</t>
  </si>
  <si>
    <t>Expedited Yield Optimization of Narrow- and Multi-Band Antennas Using Performance-Driven Surrogates</t>
  </si>
  <si>
    <t>The authors propose a simple surrogate technique for fast yield optimization of narrowband and multi-band antennas, in which the optimization domain is defined using several pre-optimized reference designs representing the main directions of resonant-frequency variation.</t>
  </si>
  <si>
    <t>Verified on a ring-slot antenna and a two- and three-band uniplanar dipole antenna; optimization was achieved at a cost of only 62, 74, and 132 EM simulations, respectively; the reliability of the results was confirmed by comparison with EM Monte Carlo simulations.</t>
  </si>
  <si>
    <t>Not stated explicitly: the available text (introduction and reference conclusion) contains no separate discussion of limitations; the method generally requires a set of pre-optimized reference designs as input.</t>
  </si>
  <si>
    <t>Performance-driven surrogate model defined by reference (pre-optimized) designs for yield optimization</t>
  </si>
  <si>
    <t>old/128 - Expedited Yield Optimization of Narrow- and Multi-Band Antennas Using Performance-Driven Surrogates.pdf</t>
  </si>
  <si>
    <t>Machine-learning-assisted optimization and its application to antenna designs: Opportunities and challenges</t>
  </si>
  <si>
    <t>A review article describes ML-assisted optimization (MLAO) of antennas as a type of surrogate-based optimization, in which an ML model (GPR, SVM, ANN) replaces computationally expensive EM simulations, and summarizes algorithms for antenna optimization and sensitivity analysis (SA).</t>
  </si>
  <si>
    <t>No original quantitative results; this is a review summarizing the state of MLAO methods for antenna modeling and discussing their algorithms.</t>
  </si>
  <si>
    <t>Not stated explicitly: the text does not specify concrete limitations of individual methods, only discussing future MLAO challenges in general terms.</t>
  </si>
  <si>
    <t>Review of MLAO methods: GPR, SVM, ANN as surrogate models for antenna design</t>
  </si>
  <si>
    <t>old/125 - Machine-learning-assisted optimization and its application to antenna designs Opportunities and challenges.pdf</t>
  </si>
  <si>
    <t>Multistage Collaborative Machine Learning and its Application to Antenna Modeling and Optimization</t>
  </si>
  <si>
    <t>The authors propose a multi-stage collaborative machine learning method (MS-CoML) combining single-output (SOGPR) and symmetric/asymmetric multi-output (MOGPR) Gaussian process regression for efficient multi-objective modeling and optimization of antennas with variable-fidelity data.</t>
  </si>
  <si>
    <t>On three antenna examples (a single-band, a wideband, and a multi-band antenna in the Q, V, and S/C bands), the method significantly reduced total optimization time while maintaining high prediction accuracy, using only a small proportion of high-fidelity (HF) data; specific numerical accuracy/speedup values are not given in the available text excerpt.</t>
  </si>
  <si>
    <t>In the conclusion, the authors explicitly state that the limitations of the proposed MS-CoML method were discussed, but their specific wording is not present in the available text excerpt; not stated explicitly: this likely relates to the dependence of accuracy on sufficient correlation between the variable-fidelity data and the individual design tasks.</t>
  </si>
  <si>
    <t>Multi-stage collaboration of SOGPR + symmetric and asymmetric MOGPR (Gaussian process regression)</t>
  </si>
  <si>
    <t>old/139 - Multistage Collaborative Machine Learning and its Application to Antenna Modeling and Optimization.pdf</t>
  </si>
  <si>
    <t>Rapid Multi-Criterial Antenna Optimization by Means of Pareto Front Triangulation and Interpolative Design Predictors</t>
  </si>
  <si>
    <t>The authors propose a deterministic ML procedure for multi-objective (Pareto) antenna optimization that sequentially generates Pareto-optimal designs using triangulation of the Pareto front obtained so far and local surrogate models.</t>
  </si>
  <si>
    <t>The method enables the generation of uniformly distributed Pareto fronts at a cost on the order of hundreds of antenna EM simulations; verified on three validation case studies and compared with current multi-objective optimization techniques.</t>
  </si>
  <si>
    <t>Not stated explicitly: the available excerpt has no separate section on limitations; the method is sensitive to high dimensionality and strong nonlinearity of antenna characteristics, as mentioned in the introduction as a general problem of the field.</t>
  </si>
  <si>
    <t>Pareto front triangulation + local interpolative (kriging-like) surrogate models</t>
  </si>
  <si>
    <t>old/129 - Rapid Multi-Criterial Antenna Optimization by Means of Pareto Front Triangulation and Interpolative Design Predictors.pdf</t>
  </si>
  <si>
    <t>Montaser et al.</t>
  </si>
  <si>
    <t>Deep Learning Based Antenna Design and Beam-Steering Capabilities for Millimeter-Wave Applications</t>
  </si>
  <si>
    <t>The authors implement a deep neural network (DNN) to compute the resonant frequency of a dual-band circularly polarized patch antenna (BSPA) and for beam-steering of a circular antenna array using a hybrid MGSA-PSO algorithm.</t>
  </si>
  <si>
    <t>A database of 150 BSPA samples was split into training (135) and test (15) sets; the 16-element beam-steering array achieved a sidelobe level ≤ -30 dB at the tested angles (40°, 142°, 205°, 320°) with good agreement between the desired and synthesized radiation patterns.</t>
  </si>
  <si>
    <t>Not stated explicitly: the work does not discuss the computational requirements of training the hybrid MGSA-PSO algorithm, nor the sensitivity of the results to the size of the training database (only 150 samples).</t>
  </si>
  <si>
    <t>DNN (5-layer network) + hybrid MGSA-PSO optimization of hyperparameters and beam-steering</t>
  </si>
  <si>
    <t>old/166 - Deep Learning Based Antenna Design and Beam-Steering Capabilities for Millimeter-Wave Applications.pdf</t>
  </si>
  <si>
    <t>Nakmouche et al.</t>
  </si>
  <si>
    <t>Development of a High Gain FSS Reflector Backed Monopole Antenna Using Machine Learning for 5G Applications</t>
  </si>
  <si>
    <t>The authors develop a high-gain monopole antenna backed by a frequency-selective surface (FSS) reflector for 5G applications, and use an artificial neural network (ANN) to find the optimal position of the FSS layer and the ground-plane dimension.</t>
  </si>
  <si>
    <t>The proposed antenna (50 × 50 mm on Rogers 5880 substrate) operates in the 5.53–6.36 GHz band (targeting 6 GHz) for 5G Sub-6GHz applications; integration of the FSS layer provides a low-profile antenna with higher gain and radiation efficiency than comparable designs from the literature; the ANN model used 75% of the data for training, 10% for validation, and 15% for testing, with 100 neurons in the hidden layer.</t>
  </si>
  <si>
    <t>Not stated explicitly: the available excerpt does not contain a conclusion; a likely limitation is that no fixed analytical formulas exist for this composite structure, and the validity of the ML prediction is limited to the range of the training data.</t>
  </si>
  <si>
    <t>Artificial neural network (ANN) with backpropagation, 100 neurons in the hidden layer</t>
  </si>
  <si>
    <t>old/156 - Development of a High Gain FSS Reflector Backed Monopole Antenna Using Machine Learning for 5G Applications.pdf</t>
  </si>
  <si>
    <t>Vu et al.</t>
  </si>
  <si>
    <t>Machine Learning-Enabled Joint Antenna Selection and Precoding Design: From Offline Complexity to Online Performance</t>
  </si>
  <si>
    <t>The authors propose the L-ASPD algorithm, which uses a deep neural network to learn the relationship between system parameters and selected antennas as a computationally lightweight alternative to the combinatorially complex JASPD algorithm for joint antenna selection and precoder design in multi-user MIMO downlink systems.</t>
  </si>
  <si>
    <t>L-ASPD significantly outperforms baseline methods (block diagonalization, learning-assisted broadcasting solutions) in effective sum data rate under limited computation time, and reduces computational complexity by 95% while retaining more than 95% of the optimal performance.</t>
  </si>
  <si>
    <t>Not stated explicitly: the available excerpt does not contain a conclusion (only author biographies); a likely limitation is the dependence of DNN performance on the quality and scope of training data, and sensitivity to changes in user/channel distribution outside the training range.</t>
  </si>
  <si>
    <t>Deep neural network (DNN) for antenna selection prediction and precoder design</t>
  </si>
  <si>
    <t>old/149 - Machine Learning-Enabled Joint Antenna Selection and Precoding Design From Offline Complexity to Online Performance.pdf</t>
  </si>
  <si>
    <t>Multilayer Machine Learning-Assisted Optimization-Based Robust Design and Its Applications to Antennas and Array</t>
  </si>
  <si>
    <t>The authors propose a multi-layer ML-assisted optimization method (ML-MLAO) for robust antenna and array design, which integrates surrogate models into worst-case analysis, MITH search, and robust optimization.</t>
  </si>
  <si>
    <t>The method was validated on a series-fed array of 10 microstrip elements at 5.8 GHz; accurate prediction of the Pareto front and MITH was achieved while satisfying |S11|&lt;-14 dB and SLL&lt;-18 dB after four iterations, with significantly lower computational cost than conventional robust-design optimization methods.</t>
  </si>
  <si>
    <t>Not stated explicitly in the available text (a concluding section is missing); the method requires a two-level nested iteration loop, and the accuracy of MITH prediction depends on the quality of the surrogate model in the early iterations.</t>
  </si>
  <si>
    <t>GPR/ANN surrogate models + genetic algorithm (worst-case analysis) within a multi-layer MLAO framework</t>
  </si>
  <si>
    <t>old/160 - Multilayer Machine Learning-Assisted Optimization-Based Robust Design and Its Applications to Antennas and Array.pdf</t>
  </si>
  <si>
    <t>Zardi et al.</t>
  </si>
  <si>
    <t>Artificial Intelligence for Adaptive and Reconfigurable Antenna Arrays: A Review</t>
  </si>
  <si>
    <t>AI algorithms (ANN/DNN, SVM, GA, etc.) are more robust than classical signal-processing algorithms in noisy and multipath environments and enable more efficient adaptive and reconfigurable control of antenna arrays across five key application areas.</t>
  </si>
  <si>
    <t>A review article with no original quantitative results; it summarizes the use of ANN/DNN/CNN, SVM, and GA in adaptive nulling, wireless localization, MIMO communication, element failure detection, and array calibration, citing dozens of experimental papers (e.g., DNN dominates CSI estimation for MIMO, GA for calibration and failure detection).</t>
  </si>
  <si>
    <t>Not stated explicitly as a methodological limitation: the authors merely note that AI algorithms are constrained by the rules and skills of their code developers and that human oversight of their decision-making is necessary.</t>
  </si>
  <si>
    <t>Review of ANN/DNN/CNN, SVM, and GA across adaptive array applications</t>
  </si>
  <si>
    <t>old/100 - Artificial Intelligence for Adaptive and Reconfigurable Antenna Arrays A Review.pdf</t>
  </si>
  <si>
    <t>Abdelhamid et al.</t>
  </si>
  <si>
    <t>Optimized Two-Level Ensemble Model for Predicting the Parameters of Metamaterial Antenna</t>
  </si>
  <si>
    <t>A two-level ensemble regression model (RF, SVR, LightGBM at the first level + ElasticNet at the second level) tuned by the ASSOA metaheuristic can predict the bandwidth of a metamaterial antenna more accurately than previously published ensemble models.</t>
  </si>
  <si>
    <t>The proposed model achieved an RMSE of 0.013, MAE of 0.004, and MBE of 0.0017 when predicting the bandwidth of a metamaterial antenna on a public benchmark dataset, outperforming the competing ensemble models compared.</t>
  </si>
  <si>
    <t>Not stated explicitly: the authors merely state the superiority of their results over other models, without discussing specific limitations of the approach.</t>
  </si>
  <si>
    <t>Two-level ensemble (RF, SVR, LightGBM + ElasticNet) tuned by ASSOA</t>
  </si>
  <si>
    <t>old/112 - Optimized Two-Level Ensemble Model for Predicting the Parameters of Metamaterial Antenna.pdf</t>
  </si>
  <si>
    <t>Multibranch Machine Learning-Assisted Optimization and Its Application to Antenna Design</t>
  </si>
  <si>
    <t>The authors propose a multi-branch machine-learning-assisted optimization method (MB-MLAO) with an adaptive variable lower confidence bound (LCB) and retraining of a multi-fidelity GPR model for efficient antenna optimization and worst-case performance (WCP) search under manufacturing tolerances.</t>
  </si>
  <si>
    <t>The method was demonstrated on two test functions and three antenna types, where the combination of multi-fidelity GPR and multi-branch adaptive LCB search ensures a balance between exploitation and exploration; specific numerical accuracy/speedup values are not given in the available text excerpt.</t>
  </si>
  <si>
    <t>Not stated explicitly: the available excerpt does not contain a concluding discussion of limitations; a likely limitation is the dependence of method performance on the choice of LCB constants and on the quality of low-fidelity (LF) data.</t>
  </si>
  <si>
    <t>Multi-fidelity Gaussian process regression (GPR) with an adaptive lower confidence bound (LCB) strategy and multi-branch search</t>
  </si>
  <si>
    <t>old/142 - Multibranch Machine Learning-Assisted Optimization and Its Application to Antenna Design.pdf</t>
  </si>
  <si>
    <t>Goudos et al.</t>
  </si>
  <si>
    <t>Design of Antennas through Artificial Intelligence: State of the Art and Challenges</t>
  </si>
  <si>
    <t>A review article summarizes applications of AI (evolutionary algorithms, machine learning, knowledge representation via ontologies) in antenna design and identifies challenges and future research directions.</t>
  </si>
  <si>
    <t>No original quantitative results; this is a review summarizing the use of GA, PSO, DE, and other evolutionary algorithms, ML as surrogate models in conjunction with optimizers, and OWL ontologies in the antenna domain.</t>
  </si>
  <si>
    <t>The authors state that the large volume of data required by most ML methods is a major obstacle, and that there is no unified way to select a suitable optimization algorithm for a specific antenna problem; they propose meta-learning and GAN-based data generation as future directions.</t>
  </si>
  <si>
    <t>Review of evolutionary algorithms (GA, PSO, DE) and ML surrogate models for antenna design</t>
  </si>
  <si>
    <t>old/116 - Design of Antennas through Artificial Intelligence State of the Art and Challenges.pdf</t>
  </si>
  <si>
    <t>Dual Band Antenna Design and Prediction of Resonance Frequency Using Machine Learning Approaches</t>
  </si>
  <si>
    <t>The authors design a dual-band microstrip patch antenna (MPA) and evaluate it using a combination of simulation, measurement, an RLC equivalent circuit, and seven ML models for resonant-frequency prediction.</t>
  </si>
  <si>
    <t>The best results were achieved by the DTR (decision tree regression) model: MSE = 0.71%, MAE = 5.63%, RMSE = 8.42%, variance score = 99.68%; the antenna has a measured bandwidth of 6.7 GHz and a simulated bandwidth of 5.9 GHz within the 7.9–14.6 GHz range (X-band and lower Ku-band).</t>
  </si>
  <si>
    <t>Not stated explicitly: the available excerpt contains only the abstract and introduction, the conclusion is missing; the likely limitation is the small dataset (86 samples) and restriction to a single antenna/substrate type.</t>
  </si>
  <si>
    <t>CNN, linear/ridge/lasso regression, random forest, decision tree, XGBoost regression (best: DTR)</t>
  </si>
  <si>
    <t>old/140 - Dual Band Antenna Design and Prediction of Resonance Frequency Using Machine Learning Approaches.pdf</t>
  </si>
  <si>
    <t>Estimation of S11 Values of Patch Antenna Using Various Machine Learning Models</t>
  </si>
  <si>
    <t>The authors show that machine learning (Decision Tree, Random Forest, XGBoost, KNN) can be used to predict the S11 (return loss) of a microstrip patch antenna based on dimensions A, B and frequency, without the need for repeated HFSS simulations.</t>
  </si>
  <si>
    <t>On a dataset of 45,551 samples, the KNN model achieved the best results with MAE=1.328, MSE=4.608, and R²=0.866; the predicted and HFSS-simulated S11 values for 4 designs were very close (e.g., -26.439 dB vs. -23.966 dB at 6.32 GHz).</t>
  </si>
  <si>
    <t>Not stated explicitly: the work does not evaluate the model's generalization to other antenna types/substrates or its sensitivity to noise in the data; the conclusion merely states the prediction accuracy without discussing limitations.</t>
  </si>
  <si>
    <t>Decision Tree, Random Forest, XGBoost, KNN regression</t>
  </si>
  <si>
    <t>old/159 - Estimation of S11 Values of Patch Antenna Using Various Machine Learning Models.pdf</t>
  </si>
  <si>
    <t>Low-cost quasi-global optimization of expensive electromagnetic simulation models by inverse surrogates and response features</t>
  </si>
  <si>
    <t>The authors propose a globalized search method for tuning high-frequency structures (antennas, microwave couplers, impedance transformers) combining response features with inverse regression surrogate models, aiming to achieve a cost comparable to local optimization procedures.</t>
  </si>
  <si>
    <t>The global search capability and computational efficiency of the method are demonstrated by comparison with multi-start local search and with a particle swarm optimizer on several high-frequency structures; the total optimization cost is comparable to that of purely local procedures (specific numbers of EM simulations are not further specified in the available text excerpt).</t>
  </si>
  <si>
    <t>The authors explicitly state that the approach requires problem-specific routines for identifying characteristic points in the response, which limits its direct applicability to structures where such points can be reliably distinguished.</t>
  </si>
  <si>
    <t>PSO + inverse regression surrogate with response features</t>
  </si>
  <si>
    <t>old/271 - Low-cost quasi-global optimization of expensive electromagnetic simulation models by inverse surrogates and response features.pdf</t>
  </si>
  <si>
    <t>Unequally Spaced Antenna Array Synthesis Using Accelerating Gaussian Mutated Cat Swarm Optimization</t>
  </si>
  <si>
    <t>The authors propose a nature-inspired metaheuristic algorithm, AGMCSO (Accelerating Gaussian-Mutated Cat Swarm Optimization), for suppressing peak sidelobe level (PSLL) in the synthesis of non-uniformly spaced linear antenna arrays.</t>
  </si>
  <si>
    <t>On benchmark multimodal problems, AGMCSO exhibits higher convergence speed and accuracy than conventional algorithms, and in the synthesis of non-uniformly spaced linear arrays it achieves a lower PSLL with a narrower first-null beamwidth (FNBW) than GA, PSO, DE, ACO, CSO, and GWO.</t>
  </si>
  <si>
    <t>Not stated explicitly: the available text (introduction and references) contains no separate discussion of limitations of the proposed algorithm.</t>
  </si>
  <si>
    <t>Accelerating Gaussian Mutated Cat Swarm Optimization (AGMCSO)</t>
  </si>
  <si>
    <t>old/133 - Unequally Spaced Antenna Array Synthesis Using Accelerating Gaussian Mutated Cat Swarm Optimization.pdf</t>
  </si>
  <si>
    <t>Bayesian Optimization Based on Student's T Process for Microstrip Antenna Design</t>
  </si>
  <si>
    <t>Bayesian optimization with a Student's T-process as the surrogate model (instead of a Gaussian process), combined with an improved EST acquisition function, offers more robust and accurate global optimization for microstrip antenna resonant frequency design.</t>
  </si>
  <si>
    <t>On a multimodal test function, BO-STP-EST finds the global minimum, while models with a GP surrogate (BO-GP-LCB/EST) get stuck in a local minimum; for a printed dipole antenna, it reached the target (2.45 GHz, S11 = −24.12 dB) already at the 3rd iteration (versus the 8th–41st iteration for the other models), and for an E-shaped antenna (3.50 GHz) at the 7th iteration versus the 12th–42nd iteration for the other models.</t>
  </si>
  <si>
    <t>The authors explicitly state that in this work the algorithm was applied only to single-band antenna optimization; optimization of multi-band antennas is left for future work.</t>
  </si>
  <si>
    <t>Bayesian optimization with a Student's T-process (BO-STP-EST)</t>
  </si>
  <si>
    <t>old/113 - Bayesian Optimization Based on Student’s T Process for Microstrip Antenna Design.pdf</t>
  </si>
  <si>
    <t>Patel et al.</t>
  </si>
  <si>
    <t>Machine learning assisted metamaterial-based reconfigurable antenna for low-cost portable electronic devices</t>
  </si>
  <si>
    <t>The authors propose a reconfigurable metamaterial antenna (patch with SRR and thin-wire superstrates) switched by PIN diodes for 5G/WiFi/WiMAX/WLAN applications, and use an ML model to speed up reflectance prediction and shorten simulation time.</t>
  </si>
  <si>
    <t>The best design variant (two layers of TW superstrate) achieves a gain of 15.57 dB, bandwidth of 108 MHz, reflectance of −27.07 dB, and six frequency bands; the Extra Tree Regression (ExTRM) model reduced simulation time and requirements by 80%.</t>
  </si>
  <si>
    <t>Not stated explicitly: the available excerpt does not contain a separate limitations section; a likely limitation is that the ML prediction is valid only within the parameter range used for training and for the given antenna geometry.</t>
  </si>
  <si>
    <t>Extra Tree Regression (ExTRM)</t>
  </si>
  <si>
    <t>old/145 - Machine learning assisted metamaterial-based reconfigurable antenna for low-cost portable electronic devices.pdf</t>
  </si>
  <si>
    <t>Low-cost yield-driven design of antenna structures using response-variability essential directions and parameter space reduction</t>
  </si>
  <si>
    <t>The authors propose a low-cost surrogate method for antenna manufacturing yield optimization that restricts the metamodel domain to a few 'essential directions' that most affect the antenna response, thereby reducing the cost of training data.</t>
  </si>
  <si>
    <t>Verified on four microstrip antennas; the average cost of yield optimization amounts to just 115 EM simulations, with a speedup of up to 88% over a simple surrogate method and 59% over sequential approximation optimization (SAO), at comparable resulting yield quality.</t>
  </si>
  <si>
    <t>The authors point out that physical measurements of antenna prototypes are subject to errors whose magnitude is typically greater than the antenna's response variability due to manufacturing tolerances, which complicates experimental validation.</t>
  </si>
  <si>
    <t>Surrogate model with parameter-space reduction via essential directions (response-variability)</t>
  </si>
  <si>
    <t>old/121 - Low-cost yield-driven design of antenna structures using response-variability essential directions and parameter space reduction.pdf</t>
  </si>
  <si>
    <t>Ranjan et al.</t>
  </si>
  <si>
    <t>Ultra-Wideband CPW Fed Band-Notched Monopole Antenna Optimization Using Machine Learning</t>
  </si>
  <si>
    <t>The authors propose a compact CPW-fed UWB monopole antenna with a band-notch, and optimize the prediction of its reflection coefficient using five ML algorithms (Decision Tree, Random Forest, XGBoost, KNN, ANN).</t>
  </si>
  <si>
    <t>The fabricated antenna covers the 2.9–21.6 GHz band with a 3.2–3.9 GHz band-notch (WiMAX); the KNN algorithm achieved the best results among the compared models, with accuracy up to 98%.</t>
  </si>
  <si>
    <t>Not stated explicitly: the available excerpt contains only a summary conclusion without a discussion of limitations; a likely limitation is that the prediction is valid only within the range of parameters (slot length/width/thickness) used in the simulation for the given antenna geometry.</t>
  </si>
  <si>
    <t>Decision Tree, Random Forest, XGBoost Regression, KNN, ANN (best: KNN, 98% accuracy)</t>
  </si>
  <si>
    <t>old/158 - Ultra-Wideband CPW Fed Band-Notched Monopole Antenna Optimization Using Machine Learning.pdf</t>
  </si>
  <si>
    <t>An Intelligent Antenna Synthesis Method Based on Machine Learning</t>
  </si>
  <si>
    <t>The authors propose an intelligent antenna synthesis system that uses SVM classification to automatically recommend a suitable antenna type and a stacking ensemble model to provide the corresponding geometric parameters based on required performance characteristics.</t>
  </si>
  <si>
    <t>The system achieves an antenna-type classification accuracy above 99% and predicts geometric parameters with a mean absolute percentage error (MAPE) below 6%, with better accuracy than a traditional data-driven model; demonstrated on a microstrip patch, spiral, and horn antenna.</t>
  </si>
  <si>
    <t>Not stated explicitly: the text contains no separate discussion of the method's limitations beyond the accuracy comparison tables.</t>
  </si>
  <si>
    <t>SVM antenna-type classification + stacking ensemble model (five base learners) for parameter prediction</t>
  </si>
  <si>
    <t>old/136 - An Intelligent Antenna Synthesis Method Based on Machine Learning.pdf</t>
  </si>
  <si>
    <t>Microstrip line fed dielectric resonator antenna optimization using machine learning algorithms</t>
  </si>
  <si>
    <t>The authors, for the first time, optimize a microstrip-fed dielectric resonator antenna (DRA) using several ML algorithms (ANN, KNN, Random Forest, XGBoost, Decision Tree) and introduce a Knowledge-Based Neural Network (KBNN) to address ANN accuracy issues.</t>
  </si>
  <si>
    <t>The predictions of all ML models were close to the measured values, with the exception of the standalone ANN, whose problem was resolved by deploying KBNN; the antenna operates in the 3.3–3.65 GHz band with a gain of approx. 3.5 dBi, and the measured results agree well with the simulation (resonant frequency predicted by the empirical formula is 3.35 GHz, close to the simulated value).</t>
  </si>
  <si>
    <t>The authors state that neural networks (ANN) require more computation time due to their layered structure and complex learning algorithm, and that the KBNN (PKI) model required the most training time because it needed a larger dataset to achieve accuracy.</t>
  </si>
  <si>
    <t>ANN, KNN, Random Forest, XGBoost, Decision Tree; the ANN accuracy problem addressed using a Knowledge-Based Neural Network (KBNN)</t>
  </si>
  <si>
    <t>old/153 - Microstrip line fed dielectric resonator antenna optimization using machine learning algorithms.pdf</t>
  </si>
  <si>
    <t>Electromagnetic characteristic estimation on spiral antennas through AOI, ML, and AI</t>
  </si>
  <si>
    <t>The authors propose a method combining automatic optical inspection (AOI), machine learning, and AI for estimating the electromagnetic characteristics (coupling frequency) of spiral antennas based on line edge roughness (LER) of the pattern, enabling smart manufacturing.</t>
  </si>
  <si>
    <t>An AI model based on Gaussian process regression with an exponential covariance function achieved, on the testing group (36 samples), an integrated RMSE of 0.010989 GHz and a coefficient of determination R² = 0.904 between predicted and measured coupling frequency.</t>
  </si>
  <si>
    <t>The authors state that the degraded RMSE in the testing group was caused by deviation in samples with BA = 0.45 and unbalanced clusters of samples on one side of the reference line; with a sufficient number of samples (which was not practically feasible in this work), the RMSE would, according to the authors, improve.</t>
  </si>
  <si>
    <t>Gaussian process regression (GPR) with exponential covariance function</t>
  </si>
  <si>
    <t>old/218 - Electromagnetic characteristic estimation on spiral antennas through AOI, ML, and AI.pdf</t>
  </si>
  <si>
    <t>Design of Zero Clearance SIW Endfire Antenna Array Using Machine Learning-Assisted Optimization</t>
  </si>
  <si>
    <t>The authors propose a substrate-integrated waveguide (SIW) antenna array with zero clearance for 5G mmWave applications, whose impedance matching across three metal vias is optimized using the ML method PSADEA (parallel surrogate-model-assisted hybrid differential evolution).</t>
  </si>
  <si>
    <t>The optimized antenna covers the 36–40 GHz band with overall efficiency generally above 60% and peak gain above 5 dBi (measured 4.27 dBi for the single antenna and 3.7 dBi for the array element); the beam-steering range at 39 GHz is from −20° to 35°; the PSADEA method achieves more than a 20-fold optimization speedup over standard methods (PSO, DE, GA).</t>
  </si>
  <si>
    <t>Not stated explicitly as a separate section; the text indicates that agreement between simulation and measurement is affected by fabrication location errors.</t>
  </si>
  <si>
    <t>PSADEA (parallel surrogate-model-assisted hybrid differential evolution)</t>
  </si>
  <si>
    <t>old/150 - Design of Zero Clearance SIW Endfire Antenna Array Using Machine Learning-Assisted Optimization.pdf</t>
  </si>
  <si>
    <t>Zhong et al.</t>
  </si>
  <si>
    <t>A Machine Learning Generative Method for Automating Antenna Design and Optimization</t>
  </si>
  <si>
    <t>The authors propose a generative machine learning method (GAN-inspired discriminators and generators) for automating the design and optimization of antennas with a flexible geometric scheme of an interconnected node network of arbitrary shape.</t>
  </si>
  <si>
    <t>For the design of a dual-resonance antenna, the proposed method outperformed other state-of-the-art optimization algorithms; besides finding optimal solutions, the trained generator can also be used to automate future antenna designs. Specific numerical speedup/accuracy values are not given in the available text excerpt.</t>
  </si>
  <si>
    <t>Not stated explicitly: the available excerpt does not contain a conclusion (only references); a likely limitation is the dependence of generator quality on discriminator accuracy and limited testing on a single type of geometric scheme.</t>
  </si>
  <si>
    <t>GAN-inspired generative method (discriminator + generator) with an evolutionary selection criterion</t>
  </si>
  <si>
    <t>old/143 - A Machine Learning Generative Method for Automating Antenna Design and Optimization.pdf</t>
  </si>
  <si>
    <t>Machine learning-based technique for gain and resonance prediction of mid band 5G Yagi antenna</t>
  </si>
  <si>
    <t>The authors investigate the use of an ML technique to improve the performance of a Quasi-Yagi-Uda antenna in the n78 band for 5G applications, with evaluation via simulation, measurement, and an RLC equivalent circuit.</t>
  </si>
  <si>
    <t>The antenna achieves an operating frequency of 3.5 GHz, return loss of −43.45 dB, bandwidth of 520 MHz, maximum gain of 6.57 dB, and efficiency of nearly 97%; of nine ML models, linear regression achieved the best results for resonant frequency prediction and Gaussian process regression for gain prediction, both with R²/variance score close to 99%.</t>
  </si>
  <si>
    <t>Not stated explicitly: the available excerpt does not contain a concluding discussion of limitations; a likely limitation is the limited range of simulation-generated training data and the focus on only one antenna type.</t>
  </si>
  <si>
    <t>Nine regression ML models (best: linear regression for frequency, Gaussian process regression for gain)</t>
  </si>
  <si>
    <t>old/144 - Machine learning-based technique for gain and resonance prediction of mid band 5G Yagi antenna.pdf</t>
  </si>
  <si>
    <t>Machine learning-based technique for resonance and directivity prediction of UMTS LTE band quasi Yagi antenna</t>
  </si>
  <si>
    <t>The authors propose a quasi-Yagi-Uda antenna for the UMTS LTE 2100 MHz band and use ML regression techniques to predict its resonant frequency and directivity.</t>
  </si>
  <si>
    <t>The CST simulation gives a reflection coefficient of −38.40 dB at 2.1 GHz, a bandwidth of 357 MHz, gain of 6.9 dB, directivity of 7.67, and efficiency of 89.9%; of seven ML models, linear regression achieved the best accuracy for directivity prediction and ridge regression for frequency prediction.</t>
  </si>
  <si>
    <t>The authors explicitly state that they were unable to include deep learning models in the experiment; in addition, the antenna dimensions are relatively large (75 × 100 × 1.6 mm³).</t>
  </si>
  <si>
    <t>Seven regression ML models (best: linear regression for directivity, ridge regression for frequency)</t>
  </si>
  <si>
    <t>old/151 - Machine learning-based technique for resonance and directivity prediction of UMTS LTE band quasi Yagi antenna.pdf</t>
  </si>
  <si>
    <t>Enhancing Circular Microstrip Patch Antenna Performance Using Machine Learning Models</t>
  </si>
  <si>
    <t>The authors design and optimize a circular microstrip patch antenna using six ML models predicting return loss (S11), aiming to speed up and improve the accuracy of the design process compared to classical EM simulators.</t>
  </si>
  <si>
    <t>The KNN model achieved the highest S11 prediction accuracy (98.5%) among the six models tested (Decision Tree, Random Forest, XGBoost, KNN, GBR, LGBR); the optimized antenna covers the 2.37–10.72 GHz band suitable for UWB, verified by fabrication and measurement.</t>
  </si>
  <si>
    <t>Not stated explicitly: the authors do not directly state limitations of the method, merely noting that the ML prediction agrees well with both the HFSS simulation and measurement for the given antenna; general transferability to other geometries remains unclear.</t>
  </si>
  <si>
    <t>KNN, Decision Tree, Random Forest, XGBoost, GBR, LGBR (best: KNN)</t>
  </si>
  <si>
    <t>old/115 - ENHANCING CIRCULAR MICROSTRIP PATCH ANTENNA PERFORMANCE USING MACHINE LEARNING MODELS.pdf</t>
  </si>
  <si>
    <t>Khodadadi et al.</t>
  </si>
  <si>
    <t>Design of Antenna Parameters Using Optimization Techniques: A Review</t>
  </si>
  <si>
    <t>A review article describes the role of AI, computational electromagnetics (CEM), and ML/DL algorithms in antenna parameter optimization and gives examples of their use.</t>
  </si>
  <si>
    <t>No original quantitative results; this is a review summarizing a number of works using ML/DL (ANN, SVR, combinations of evolutionary algorithms with ML) for antenna optimization.</t>
  </si>
  <si>
    <t>Not stated explicitly: the text does not specify concrete limitations of the discussed methods.</t>
  </si>
  <si>
    <t>Review of ML/DL techniques (ANN, etc.) for antenna parameter optimization</t>
  </si>
  <si>
    <t>old/118 - Design of Antenna Parameters Using Optimization Techniques A Review.pdf</t>
  </si>
  <si>
    <t>On Nature-Inspired Design Optimization of Antenna Structures Using Variable-Resolution EM Models</t>
  </si>
  <si>
    <t>The authors investigate the benefit of incorporating variable-resolution EM models into nature-inspired (population-based) optimization algorithms for global optimization of antenna structures.</t>
  </si>
  <si>
    <t>A suitably chosen profile of gradually increasing model resolution enables computational savings of up to 80% compared to optimization based solely on a high-fidelity model, without noticeable degradation of search reliability (verified with PSO on several antenna types).</t>
  </si>
  <si>
    <t>Not stated explicitly: the available text does not contain a discussion section with limitations; the method requires EM models sharing the same physical basis across the resolution spectrum, which limits its universal applicability.</t>
  </si>
  <si>
    <t>Particle swarm optimization with variable-resolution EM models (variable-resolution surrogate)</t>
  </si>
  <si>
    <t>old/57 - On nature-inspired design optimization of antenna structures using variable-resolution EM models.pdf</t>
  </si>
  <si>
    <t>Montaser</t>
  </si>
  <si>
    <t>Machine Learning Based Design of Pattern Reconfigurable Antenna</t>
  </si>
  <si>
    <t>The author uses ML (a five-layer DNN model) trained on a simulated database of 180 antennas to compute the resonant frequency of a reconfigurable antenna (RHBD) for 5G applications in the 26–29.5 GHz band, with the architecture and hyperparameters tuned by hybrid PSO-MGSA optimization.</t>
  </si>
  <si>
    <t>The ML model was verified on a fabricated antenna operating at 27.5 GHz (trained on 162, tested on 18 samples from a database of 180 antennas); switching PIN diodes allows the radiation pattern beamwidth to be varied from 10.7° to 156.2°.</t>
  </si>
  <si>
    <t>Not stated explicitly: the authors do not give specific limitations of the model; the training database is relatively small (180 samples) and specific to the given antenna topology.</t>
  </si>
  <si>
    <t>DNN (5-layer) with hyperparameters tuned by hybrid PSO-MGSA optimization</t>
  </si>
  <si>
    <t>old/137 - Machine Learning Based Design of Pattern Reconfigurable Antenna.pdf</t>
  </si>
  <si>
    <t>Rozhnovskiy et al.</t>
  </si>
  <si>
    <t>Application of Machine Learning Method in Massive MIMO Antenna Technologies</t>
  </si>
  <si>
    <t>The authors propose the use of reinforcement learning (Q-learning) by an intelligent agent to control the radiation pattern of a massive MIMO antenna with beamforming, based on prediction of user movement within a 5G/6G network cell.</t>
  </si>
  <si>
    <t>This is a concept/design paper without experimental numerical results; the authors describe a theoretical Q-learning framework (Q-function, states, actions, rewards) for modeling agent behavior in a cellular environment, but do not report specific quantitative simulation results.</t>
  </si>
  <si>
    <t>Not stated explicitly: the work is a purely conceptual/theoretical proposal without implementation or simulation validation of the proposed approach.</t>
  </si>
  <si>
    <t>Q-learning (reinforcement learning) by an intelligent agent</t>
  </si>
  <si>
    <t>old/168 - APPLICATION OF MACHINE LEARNING METHOD IN MASSIVE MIMO ANTENNA.pdf</t>
  </si>
  <si>
    <t>Sarkar et al.</t>
  </si>
  <si>
    <t>Machine Learning Assisted Hybrid Electromagnetic Modeling Framework and Its Applications to UWB MIMO Antennas</t>
  </si>
  <si>
    <t>The authors propose a hybrid ML framework based on multivariate relevance vector regression (MVRVR), which solves both the forward and inverse EM problem simultaneously with a single model for UWB MIMO antenna design.</t>
  </si>
  <si>
    <t>The HMVRVR model achieved a prediction accuracy (PE) of 94.32% for the two-element MIMO antenna and 98.93% for the four-element MIMO antenna, exceeding the results of SVR (63.98%), GPR (81.56%), and ANN (77.77%) in the two-element example.</t>
  </si>
  <si>
    <t>The hybrid framework requires more computation time than separate forward and inverse models, due to the larger number of training samples and modeling parameters.</t>
  </si>
  <si>
    <t>Multivariate Relevance Vector Regression (MVRVR) hybrid model; compared with SVR, GPR, ANN</t>
  </si>
  <si>
    <t>old/161 - Machine Learning Assisted Hybrid Electromagnetic Modeling Framework and Its Applications to UWB MIMO Antennas.pdf</t>
  </si>
  <si>
    <t>Sarker et al.</t>
  </si>
  <si>
    <t>Applications of Machine Learning and Deep Learning in Antenna Design, Optimization, and Selection: A Review</t>
  </si>
  <si>
    <t>This review article maps applications of machine learning and deep learning in the design, optimization, and selection of antennas for wireless communications, including surrogate and RL approaches.</t>
  </si>
  <si>
    <t>Not stated explicitly: the article gives only a qualitative conclusion that ML/DL improves antenna behavior prediction, reduces the number of required simulations, and speeds up the design process, without aggregated numerical metrics.</t>
  </si>
  <si>
    <t>Not stated explicitly: the authors point to a lack of standardized antenna datasets and to the role of designer intuition in choosing network architecture and hyperparameters.</t>
  </si>
  <si>
    <t>Review of ANN/DNN/CNN/RL/SVM/GPR approaches for antenna design, optimization, and selection</t>
  </si>
  <si>
    <t>old/42 - Applications of Machine Learning and Deep Learning in Antenna Design, Optimization, and Selection.pdf</t>
  </si>
  <si>
    <t>Machine Learning Approach in Optimal Localization of Tumor Using a Novel SIW-Based Antenna for Improvement of Ablation Zone in Hepatocellular Carcinoma</t>
  </si>
  <si>
    <t>The authors propose an SIW antenna for microwave ablation of liver carcinoma and use ML algorithms to predict the ablation percentage based on probe position and tumor size, for optimal applicator placement.</t>
  </si>
  <si>
    <t>The antenna achieved a maximum ablation diameter of 32 mm (transverse) and 25 mm (axial) at 20 W for 10 minutes; the CatBoost algorithm provided the best prediction (high R², low RMSE) compared to polynomial regression, SVR, and XGBoost.</t>
  </si>
  <si>
    <t>The study is based solely on an FEM model without in-vitro validation; the model does not account for protein denaturation or deformation of liver tissue and the tumor during heating.</t>
  </si>
  <si>
    <t>CatBoost, XGBoost, SVR, polynomial regression</t>
  </si>
  <si>
    <t>old/165 - Machine Learning Approach in Optimal Localization of Tumor Using a Novel SIW-Based Antenna for Improvement of Ablation Zone in Hepatocellular Carcinoma.pdf</t>
  </si>
  <si>
    <t>Al-Bawri et al.</t>
  </si>
  <si>
    <t>Machine learning technique based highly efficient slotted 4-port MIMO antenna using decoupling structure for sub-THz and THz 6G band applications</t>
  </si>
  <si>
    <t>The authors propose a 4-port MIMO antenna on a polyimide substrate for sub-THz/THz 6G bands and use ML models to predict performance parameters (gain, efficiency) based on simulation data.</t>
  </si>
  <si>
    <t>The antenna achieves a maximum gain of 15 dB, isolation &gt;31 dB, efficiency of 97.40%, ECC&lt;0.0012 at DG&gt;9.99, and bandwidth of 85.71%; of five ML models, random forest regression (RFR) achieved the smallest error, with gain prediction accuracy &gt;95% (R² and variance score).</t>
  </si>
  <si>
    <t>Not stated explicitly in the available text (a conclusion is missing); given the breadth of the frequency band and the THz range, practical fabrication and measurement in this range may be difficult.</t>
  </si>
  <si>
    <t>Random Forest Regression and other regression ML models (evaluated via R², MSE, MAE, RMSE)</t>
  </si>
  <si>
    <t>old/163 - Machine learning technique based highly efficient slotted 4-port MIMO antenna using decoupling structure for sub-THz and THz 6G band applications.pdf</t>
  </si>
  <si>
    <t>Alquaydheb et al.</t>
  </si>
  <si>
    <t>Modeling, Characterization, and Machine Learning Algorithm for Rectangular Choke Horn Antennas</t>
  </si>
  <si>
    <t>The authors propose a hybrid model (analytical + FEM) for computing the far-field radiation characteristics of a novel rectangular choke horn antenna, supplemented by ML algorithms (gradient boosting and a neural network) to predict current values and radiation parameters (gain, HPBW).</t>
  </si>
  <si>
    <t>The gradient boosting algorithm accurately predicted current values on the choke and reduced the need for repeated simulations in ANSYS HFSS; the neural network with Bayesian regularization achieved high prediction accuracy for HPBW and gain across various choke spacings; measurement at 2.45 GHz confirmed good agreement of the main lobe across methods (specific numerical errors are not stated in the extracted text).</t>
  </si>
  <si>
    <t>The authors report differences in back-lobe radiation, primarily caused by reflections on the outer bottom side of the waveguide and by the effect of residual currents at smaller choke depths.</t>
  </si>
  <si>
    <t>Gradient boosting (current prediction) + neural network with Bayesian regularization (gain and HPBW prediction)</t>
  </si>
  <si>
    <t>old/221 - Modeling, Characterization, and Machine Learning Algorithm for Rectangular Choke Horn Antennas.pdf</t>
  </si>
  <si>
    <t>Borgaonkar et al.</t>
  </si>
  <si>
    <t>Satellite Antenna Design Using AI Based Approach</t>
  </si>
  <si>
    <t>An artificial neural network trained on the geometric parameters of a microstrip patch antenna can quickly and accurately predict the resonant frequency and bandwidth of satellite antennas without the need for repeated simulations.</t>
  </si>
  <si>
    <t>The ANN (converging after 700 epochs) predicts resonant frequency and bandwidth in close agreement with both simulation (CST) and experiment, e.g., for one sample, 5.04 GHz (simulation) vs. 5.06 GHz (ANN) vs. 5.02 GHz (measurement); similar agreement was confirmed on four additional tested prototypes (L/S/C bands).</t>
  </si>
  <si>
    <t>Not stated explicitly as a limitation: the authors mention that the work is so far only a software implementation (MATLAB), with hardware realization planned for later phases of the project.</t>
  </si>
  <si>
    <t>ANN (feedforward) for resonant frequency/bandwidth prediction</t>
  </si>
  <si>
    <t>old/109 - Satellite Antenna Design Using AI Based Approach.pdf</t>
  </si>
  <si>
    <t>Gadhafi et al.</t>
  </si>
  <si>
    <t>Exploring the Potential of Deep-Learning and Machine-Learning in Dual-Band Antenna Design</t>
  </si>
  <si>
    <t>Combining classical machine learning (SVM) and deep learning (ResNet) enables efficient treatment of dual-band IoT antenna parameter design as a regression task, without the need for exhaustive manual tuning.</t>
  </si>
  <si>
    <t>On a dataset of 1000 samples (700 training/300 test), Fine Gaussian SVM and Residual Neural Network (ResNet, various activation functions) models were successfully trained and compared for predicting the parameters of a dual-band T-monopole antenna; specific numerical accuracy metrics are not given in either the abstract or the conclusion.</t>
  </si>
  <si>
    <t>The authors recommend expanding the dataset with a wider range of designs and using transfer learning to reduce computational cost; the current scope of data and models is thus limited.</t>
  </si>
  <si>
    <t>SVM (Fine Gaussian) + ResNet (regression models, comparison)</t>
  </si>
  <si>
    <t>old/104 - Exploring the Potential of Deep-Learning and Machine-Learning in Dual-Band Antenna Design.pdf</t>
  </si>
  <si>
    <t>Ha et al.</t>
  </si>
  <si>
    <t>An Artificial-Intelligence-Assisted Optimization of Imperceptible Multimode Rectenna</t>
  </si>
  <si>
    <t>The authors propose and experimentally verify a compact, optically transparent multiband/multi-range rectenna for wireless power transfer (near-field 13.56 MHz and far-field 980 MHz/2.45 GHz), whose geometry with 20 design parameters is optimized using AI-driven global optimization (PSADEA).</t>
  </si>
  <si>
    <t>Maximum RF-DC conversion efficiency reached 55.45% at 980 MHz and 51.44% at 2.45 GHz (at a power density of 136.46 mW/m²), and even at a low density of 4.41 mW/m² remained at 21.81%/20.49%; inductive WPT at 13.56 MHz achieved a maximum system efficiency of 62.8% and a transferred power of 36.8 mW.</t>
  </si>
  <si>
    <t>Not stated explicitly: the authors do not mention limitations; the design is tied to a specific IFA geometry with 20 parameters and a specific type of transparent conductive film (TCF); general applicability to other materials/frequencies was not verified.</t>
  </si>
  <si>
    <t>PSADEA - parallel surrogate-model-assisted hybrid differential evolution with GP regression for global antenna optimization</t>
  </si>
  <si>
    <t>old/231 - An Artificial-Intelligence-Assisted Optimization of Imperceptible Multimode Rectenna.pdf</t>
  </si>
  <si>
    <t>Antenna modeling based on meta-heuristic intelligent algorithms and neural networks</t>
  </si>
  <si>
    <t>The authors compare and improve several metaheuristic algorithms (seagull optimization, butterfly optimization algorithm with reverse learning, artificial rabbit optimization, PSO, GA) for optimizing the weights and biases of a back-propagation neural network (BPNN) modeling the behavior of ultra-wideband antennas.</t>
  </si>
  <si>
    <t>The improved butterfly optimization algorithm with reverse learning (IBOAS-BPNN) achieves the highest prediction accuracy of 99.69%, followed by the seagull algorithm (99.51%) and the artificial rabbit algorithm (99.49%), compared to the classical PSO-BPNN (83.1%) and GA-BPNN (99.43%); IBOAS-BPNN also reduces the network's prediction time by more than 70%.</t>
  </si>
  <si>
    <t>Not stated explicitly: in the conclusion, the authors merely state that a comprehensive, integrated system for this type of modeling does not yet exist and that optimization algorithms need further improvement; specific limits of their own method are not given.</t>
  </si>
  <si>
    <t>BPNN surrogate model optimized by metaheuristics (IBOAS, SOA, ARO, PSO, GA)</t>
  </si>
  <si>
    <t>old/272 - Antenna modeling based on meta-heuristic intelligent algorithms and neural networks.pdf</t>
  </si>
  <si>
    <t>Hussein et al.</t>
  </si>
  <si>
    <t>A Novel MIMO Antenna Integrated With a Solar Panel and Employing AI-Equalization for 5G Wireless Communication Networks</t>
  </si>
  <si>
    <t>This work proposes a MIMO antenna array with metasurface isolation structures and PIN diodes providing reconfigurable directivity, integrated with a solar panel for sustainable 5G base stations, complemented by an AI equalizer to suppress channel capacity degradation.</t>
  </si>
  <si>
    <t>Not stated explicitly: the available excerpt (abstract and introduction) only qualitatively states that the AI equalizer mitigates channel capacity degradation caused by signal power fluctuations, without specific numerical improvement values.</t>
  </si>
  <si>
    <t>Not stated explicitly: the available text does not contain a concluding discussion of limitations (it contains only author biographies); practical limitations of integrating a solar panel into the antenna array are not discussed in the excerpt.</t>
  </si>
  <si>
    <t>AI equalizer (neural network) for compensating power fluctuations in a MIMO channel</t>
  </si>
  <si>
    <t>old/98 - A Novel MIMO Antenna Integrated With a Solar Panel and Employing AI-Equalization for 5G Wireless Communication Networks.pdf</t>
  </si>
  <si>
    <t>Khan et al.</t>
  </si>
  <si>
    <t>Antenna systems for IoT applications: a review</t>
  </si>
  <si>
    <t>This review article maps antenna systems (dipole, patch, spiral, metamaterial) for IoT applications, their design challenges (frequency, bandwidth, size, materials, energy efficiency), and the role of AI/ML in real-time design optimization.</t>
  </si>
  <si>
    <t>Not stated explicitly: this is a review study without the authors' own experimental results; it only synthesizes findings from the cited literature.</t>
  </si>
  <si>
    <t>The authors themselves state that research on interference management, power consumption, and dynamic antenna adaptation for IoT is insufficient in the current literature.</t>
  </si>
  <si>
    <t>Review of antenna types for IoT with a general outlook on AI/ML design optimization</t>
  </si>
  <si>
    <t>old/99 - Antenna systems for IoT applications a review.pdf</t>
  </si>
  <si>
    <t>On Accelerated Metaheuristic-Based Electromagnetic-Driven Design Optimization of Antenna Structures Using Response Features</t>
  </si>
  <si>
    <t>The authors investigate the benefit of reformulating the antenna design problem using response features instead of the conventional minimax formulation for metaheuristic (PSO) global optimization of multiband antennas.</t>
  </si>
  <si>
    <t>The feature-based formulation smooths the objective function landscape and, under a limited computational budget, achieves better average objective function values as well as higher repeatability of results for all three tested antenna structures, with an overall average speedup exceeding 30% compared to the conventional formulation.</t>
  </si>
  <si>
    <t>The authors report a twofold limitation: the method does not include a surrogate model, so costs can still be impractical for expensive EM simulations, and the approach requires easily identifiable characteristic points in the antenna response, which limits its applicability.</t>
  </si>
  <si>
    <t>Particle swarm optimization (PSO) with reformulation of the objective function using response features</t>
  </si>
  <si>
    <t>old/263 - On Accelerated Metaheuristic-Based Electromagnetic-Driven Design Optimization of Antenna Structures Using Response Features.pdf</t>
  </si>
  <si>
    <t>Efficient Simulation-Based Global Antenna Optimization Using Characteristic Point Method and Nature-Inspired Metaheuristics</t>
  </si>
  <si>
    <t>The authors propose an efficient global optimization (EGO) method for multiband antennas, in which a surrogate model is repeatedly built and refined using response features, with a particle swarm optimizer (PSO) serving as the search engine.</t>
  </si>
  <si>
    <t>According to the abstract, comprehensive benchmarking on three antenna structures demonstrates the superiority of the proposed approach over both surrogate-assisted methods and direct nature-inspired optimization; specific numerical values of the computational cost are not given in the available text excerpt.</t>
  </si>
  <si>
    <t>Not stated explicitly in the available excerpt (abstract, introduction, references); given the principle based on characteristic points, a limitation similar to the authors' related work can be expected - the need for easily identifiable resonance points in the antenna response.</t>
  </si>
  <si>
    <t>EGO (efficient global optimization) - PSO + kriging/response-feature surrogate</t>
  </si>
  <si>
    <t>old/268 - Efficient Simulation-Based Global Antenna Optimization Using Characteristic Point Method and Nature-Inspired Metaheuristics.pdf</t>
  </si>
  <si>
    <t>Fast EM-driven nature-inspired optimization of antenna input characteristics using response features and variable-resolution simulation models</t>
  </si>
  <si>
    <t>The authors propose a global optimization method for multiband antennas, in which a surrogate is repeatedly built using response features and refined into a co-kriging model combining low- and high-resolution simulations, with PSO as the search engine.</t>
  </si>
  <si>
    <t>The average optimization cost corresponds to only about 90 high-fidelity EM simulations of the antenna with high repeatability of the solution; using variable-resolution simulations yields up to a 70% speedup compared to a single-fidelity algorithm.</t>
  </si>
  <si>
    <t>Not stated explicitly: in the available text (abstract/introduction/references), the authors do not state specific limitations; a dependence on the identifiability of characteristic points in the response can be expected, similar to related work.</t>
  </si>
  <si>
    <t>PSO + co-kriging surrogate with response features and multi-fidelity (variable-resolution) EM simulations</t>
  </si>
  <si>
    <t>old/270 - Fast EM-driven nature-inspired optimization of antenna input characteristics using response features and variable-resolution simulation models.pdf</t>
  </si>
  <si>
    <t>Mair et al.</t>
  </si>
  <si>
    <t>Evolutionary Optimisation of Pixelated IFA Inspired Antennas</t>
  </si>
  <si>
    <t>The study introduces a methodology for IFA-inspired pixelated antennas (with Einstein Hat-shaped tiles) optimized by a genetic algorithm for compact IoT applications.</t>
  </si>
  <si>
    <t>Compared to a traditional IFA design, the optimized antenna exhibits higher gain and efficiency and a lower reflection coefficient; functionality was verified on a fabricated prototype by measuring scattering parameters and gain in an anechoic chamber (specific numerical values are not given in the available excerpt).</t>
  </si>
  <si>
    <t>The authors explicitly state that the effect of tile size and the position of the feed/short-circuit point will be examined only in a follow-up parametric study, and that integration of an IoT sensor node is planned for the future, indicating that these aspects were not covered in this work.</t>
  </si>
  <si>
    <t>Genetic algorithm for topological optimization of a pixelated antenna</t>
  </si>
  <si>
    <t>old/62 - Evolutionary optimisation of pixelated IFA inspired antennas.pdf</t>
  </si>
  <si>
    <t>Mittra et al.</t>
  </si>
  <si>
    <t>A Novel AI-Based Antenna Design Software</t>
  </si>
  <si>
    <t>The authors present the concept of the ANTENNA GURU software, which combines conventional AI (neural networks for parameter optimization) with an interactive chat with a human expert, in order to address the shortcomings of common AI tools for antenna design.</t>
  </si>
  <si>
    <t>Not stated explicitly: this is a conceptual description of the software without quantitative benchmarks; only a general claim of substantial time savings compared to the conventional 'cut-and-try' approach is given.</t>
  </si>
  <si>
    <t>Not stated explicitly: the authors only describe the shortcomings of conventional AI (inability to critically evaluate publications, lack of guidance for fixing an unsuccessful design), without quantitatively verifying to what extent GURU itself overcomes them.</t>
  </si>
  <si>
    <t>Neural network for antenna parameter optimization supplemented by an expert chat interface</t>
  </si>
  <si>
    <t>old/93 - A Novel AI-Based Antenna Design Software.pdf</t>
  </si>
  <si>
    <t>Palanisamy et al.</t>
  </si>
  <si>
    <t>Multi-objective hybrid split-ring resonator and electromagnetic bandgap structure-based fractal antennas using hybrid metaheuristic framework for wireless applications</t>
  </si>
  <si>
    <t>This work proposes a frequency-reconfigurable fractal antenna (18/28/38 GHz) optimized with the hybrid metaheuristic ECU-GWA algorithm, and a complementary ECSRR-EBG MIMO antenna optimized with a genetic algorithm.</t>
  </si>
  <si>
    <t>The achieved -10 dB bandwidths are 0.8/1.94/7.92 GHz at 18.5/28.1/38.1 GHz with gains of 4.41/6.33/7.70 dBi and S11 of -60.81/-56.31/-14.19 dB; the ECSRR metasurface increases the gain by 5.2 dBi at 5.9 GHz, and the MIMO antenna achieves an ECC of 0.00081 at 5.57 GHz.</t>
  </si>
  <si>
    <t>Not stated explicitly: the available text does not contain a discussion/conclusion section with limitations; the computational requirements of the hybrid ECU-GWA algorithm and manufacturing tolerances are presumably not discussed.</t>
  </si>
  <si>
    <t>Elephant Clan Updated Grey Wolf Algorithm (ECU-GWA) hybrid metaheuristic + genetic algorithm</t>
  </si>
  <si>
    <t>old/52 - Multi-objective hybrid split-ring resonator and electromagnetic bandgap structure-based fractal antennas using hybrid metaheuristic framework for wireless applications.pdf</t>
  </si>
  <si>
    <t>Papathanasopoulos et al.</t>
  </si>
  <si>
    <t>Optimization Assisted by Neural Network-Based Machine Learning in Electromagnetic Applications</t>
  </si>
  <si>
    <t>The authors present optimization assisted by a neural network (ONN) as a surrogate-model-based optimization approach for electromagnetics, and demonstrate for the first time its applicability to antenna design (Yagi-Uda and a dual-band slotted patch antenna).</t>
  </si>
  <si>
    <t>ONN requires fewer objective-function evaluations than PSO, GA, and Bayesian optimization (BO) while achieving comparable or better solution quality on both benchmark test functions and antenna optimization; the optimized slotted antenna was fabricated and measured to validate the method.</t>
  </si>
  <si>
    <t>Not stated explicitly in the available text (a conclusion is missing); the method is demonstrated on only a limited number of benchmark functions and two antenna examples.</t>
  </si>
  <si>
    <t>ONN (Optimization assisted by Neural Network) – NN surrogate-based optimization, compared with PSO, GA, BO</t>
  </si>
  <si>
    <t>old/167 - Optimization Assisted by Neural Network-Based Machine Learning in Electromagnetic Applications.pdf</t>
  </si>
  <si>
    <t>Rahman et al.</t>
  </si>
  <si>
    <t>A unique SWB multi-slotted four-port highly isolated MIMO antenna loaded with metasurface for IOT applications-based machine learning verification</t>
  </si>
  <si>
    <t>The authors propose a four-element SWB MIMO antenna system loaded with an epsilon-negative metasurface structure for IoT/V2X applications, and validate gain and efficiency using four regression ML methods based on an RLC equivalent circuit.</t>
  </si>
  <si>
    <t>Use of the metasurface widened the band from 2-19 GHz to 1.9-20 GHz, isolation increased from 20 dB to 25.5 dB, gain from 4.5 dBi to 8 dBi, and efficiency from 77% to 89%; the linear regression ML model achieved 99% accuracy in validating gain and efficiency.</t>
  </si>
  <si>
    <t>Not stated explicitly in the available text (a detailed conclusion is missing); the ML validation is based on a simplified RLC equivalent model, whose accuracy may be limited for more complex structures.</t>
  </si>
  <si>
    <t>Linear regression and other regression ML models applied to an RLC equivalent circuit</t>
  </si>
  <si>
    <t>old/164 - A unique SWB multi-slotted four-port highly isolated MIMO antenna loaded with metasurface for IOT applications-based machine learning verification.pdf</t>
  </si>
  <si>
    <t>Rai et al.</t>
  </si>
  <si>
    <t>Machine Learning Enabled Al2O3 Ceramic Based Dual Band Frequency Reconfigurable Dielectric Antenna for Wireless Application</t>
  </si>
  <si>
    <t>The authors propose a ceramic (Al2O3) dual-band frequency-reconfigurable dielectric resonator antenna with two PIN diodes, and optimize/predict its performance using several ML algorithms.</t>
  </si>
  <si>
    <t>The antenna achieves a total spectrum (TS) of 71.49% and a maximum tuning range (TR) of 44.44%, with a gain of 3.25 dBi; the KNN algorithm achieved an accuracy (R²) above 99% for S11 reflection coefficient prediction across all configurations, which was the best among the compared algorithms (KNN, ANN, DT, XGBoost, RF).</t>
  </si>
  <si>
    <t>Not stated explicitly: the available excerpt does not contain a separate limitations section; the context suggests that this is a relatively complex hybrid four-layer structure, which may limit ease of manufacturing.</t>
  </si>
  <si>
    <t>KNN, ANN, Decision Tree, XGBoost, Random Forest (best: KNN)</t>
  </si>
  <si>
    <t>old/152 - Machine Learning Enabled Al2O3Ceramic Based Dual Band Frequency Reconfigurable Dielectric Antenna for Wireless Application.pdf</t>
  </si>
  <si>
    <t>AI-Empowered Fluid Antenna Systems: Opportunities, Challenges, and Future Directions</t>
  </si>
  <si>
    <t>The article presents a vision for using AI (deep learning, reinforcement learning) to solve the NP-hard optimization of antenna (port) positions and precoding in fluid antenna systems (FAS/MIMO-FAS), demonstrated on an ISAC case study.</t>
  </si>
  <si>
    <t>In a multiuser MISO-FAS simulation for ISAC, observing only 20% of the ports (thanks to spatial correlation and MAE channel extrapolation) is sufficient to achieve performance comparable to observing all ports; the proposed approach shows a significant increase in sum data rate compared to a fixed antenna system.</t>
  </si>
  <si>
    <t>The authors note that the instability of reinforcement learning during training affects model convergence, and that the e-greedy strategy requires manual tuning of the e parameter at different stages of training.</t>
  </si>
  <si>
    <t>MAE (autoencoder) for channel extrapolation + A2C deep reinforcement learning for port selection + neural network for precoding</t>
  </si>
  <si>
    <t>old/92 - AI-Empowered Fluid Antenna Systems Opportunities, Challenges, and Future Directions.pdf</t>
  </si>
  <si>
    <t>Yahya et al.</t>
  </si>
  <si>
    <t>Machine Learning-Optimized Compact Frequency Reconfigurable Antenna With RSSI Enhancement for Long-Range Applications</t>
  </si>
  <si>
    <t>The authors propose a compact dual-band frequency-reconfigurable monopole antenna for LoRa applications (868/915 MHz), switched by a single PIN diode, whose resonant frequency is predicted using ML regression models.</t>
  </si>
  <si>
    <t>Gaussian process regression achieved the best results with R² of 92.87% and a variance score of 93.77%; the antenna achieves a maximum gain of 2 dBi at 915 MHz and an efficiency of 70%, with the RSSI of the proposed antenna outperforming a commercial monopole antenna in a field test by an average of −12 dBm up to a distance of 300 m.</t>
  </si>
  <si>
    <t>Not stated explicitly: the available excerpt does not contain a concluding discussion of limitations; a likely limitation is the lower prediction accuracy of GPR (approx. 93%) compared to other works with accuracy approaching 99%, probably due to a smaller dataset or more demanding geometry.</t>
  </si>
  <si>
    <t>Supervised regression ML models, best: Gaussian process regression (GPR)</t>
  </si>
  <si>
    <t>old/146 - Machine Learning-Optimized Compact Frequency Reconfigurable Antenna With RSSI Enhancement for Long-Range Applications.pdf</t>
  </si>
  <si>
    <t>Adama et al.</t>
  </si>
  <si>
    <t>Introducing Machine Learning in Design and Analysis of Antenna for Wireless Systems</t>
  </si>
  <si>
    <t>The article provides a review of machine learning applications (DNN, CNN, RL) in antenna design, modeling, and optimization, and supplements it with the authors' own experimental example of a surrogate model based on Gaussian Process Regression (GPR) for S11 prediction.</t>
  </si>
  <si>
    <t>The GPR surrogate model reproduces the main resonance of the HFSS simulation (7.6825 GHz vs. ~7.68 GHz) with a shallower notch depth (~-19 to -20 dB vs. -35.62 dB in HFSS), but with significantly lower computation time after training compared to full-wave EM simulation.</t>
  </si>
  <si>
    <t>The authors state that smoothing of the surrogate model somewhat reduces the accuracy of the predicted return-loss depth (S11), although the general trend and resonant frequency are preserved.</t>
  </si>
  <si>
    <t>Gaussian Process Regression (GPR) surrogate model; DNN, CNN, RL also discussed generally</t>
  </si>
  <si>
    <t>Introducing_Machine_Learning_in_Design_and_Analysis_of_Antenna_for_Wireless_Systems.pdf</t>
  </si>
  <si>
    <t>Ahmadzadeh et al.</t>
  </si>
  <si>
    <t>Enhanced Over-the-Air Federated Learning Using AI-based Fluid Antenna System</t>
  </si>
  <si>
    <t>Integrating fluid antennas (FA) into the access point together with the proposed RDPG deep reinforcement learning algorithm improves the convergence and performance of an over-the-air federated learning system (OTA-FL) compared to fixed-position antennas and conventional DRL algorithms.</t>
  </si>
  <si>
    <t>Simulations show that the FA system consistently outperforms both FPA and standard DRL algorithms (SAC, DDPG) in terms of average reward/OTA-FL convergence; performance increases with the number of antennas and decreases with an increasing number of users; specific numerical accuracy/speedup values are not given in the text (results are graphical).</t>
  </si>
  <si>
    <t>Not stated explicitly: this is a purely simulation-based study; the authors do not mention specific limitations of the method in the conclusion.</t>
  </si>
  <si>
    <t>RDPG (deep reinforcement learning) for fluid antenna position and beamforming</t>
  </si>
  <si>
    <t>old/107 - Enhanced Over-the-Air Federated Learning Using AI-based Fluid Antenna System.pdf</t>
  </si>
  <si>
    <t>Artyushkin et al.</t>
  </si>
  <si>
    <t>Emerging Computational Paradigms for Antenna Design in the Age of Surrogates and AI</t>
  </si>
  <si>
    <t>This review/bibliometric article analyzes the shift of computational paradigms in antenna design from population-based heuristics (GA, PSO) through surrogate modeling (Kriging, neural networks) to generative design (GAN, VAE, RL), including the geographic distribution of research.</t>
  </si>
  <si>
    <t>This is a systematic literature analysis without its own experimental result; it identifies a trend of transition from evolutionary algorithms to surrogate and generative AI methods and regional differences in their representation.</t>
  </si>
  <si>
    <t>Not stated explicitly: in the available text excerpt, no specific limitations of the review are given.</t>
  </si>
  <si>
    <t>Review: surrogate models (Kriging, neural networks, SVR), generative design (GAN/VAE/RL), evolutionary algorithms (GA/PSO)</t>
  </si>
  <si>
    <t>Emerging_Computational_Paradigms_for_Antenna_Design_in_the_Age_of_Surrogates_and_AI.pdf</t>
  </si>
  <si>
    <t>Inverse Design of Microstrip Antennas Based on Deep Learning</t>
  </si>
  <si>
    <t>The authors propose an inverse design framework combining pixelated modeling of a microstrip antenna (10x10 binary matrix), a convolutional neural network (CNN) as a surrogate model for S-parameter prediction, and binary particle swarm optimization (BPSO) for automated generation of the antenna structure from required parameters.</t>
  </si>
  <si>
    <t>A CNN trained on 150,000 simulations predicts S11 with RMSE 0.35, MAE 0.28, and R²=0.94; the BPSO-CNN framework converges faster and achieves lower S11 error at target frequencies than GA and simulated annealing; the CNN surrogate speeds up optimization of 500 iterations from 12.5 h (MATLAB-CST) to 30 min (25x speedup).</t>
  </si>
  <si>
    <t>Not stated explicitly: for simplification of the initial framework, the authors assume an ideal lossless dielectric substrate, which is a simplification compared to reality.</t>
  </si>
  <si>
    <t>CNN surrogate model + binary particle swarm optimization (BPSO) for inverse design of a pixelated antenna</t>
  </si>
  <si>
    <t>Inverse Design of Microstrip Antennas Based on Deep Learning.pdf</t>
  </si>
  <si>
    <t>Gajbhiye et al.</t>
  </si>
  <si>
    <t>A comprehensive review of AI and machine learning techniques in antenna design optimization and measurement</t>
  </si>
  <si>
    <t>This review article argues that integrating AI/ML techniques (neural networks, decision trees, genetic algorithms, PSO) into antenna design, optimization, and measurement can significantly speed up and improve the accuracy of the process compared to traditional computational EM tools.</t>
  </si>
  <si>
    <t>This is a qualitative review without a single unified quantitative result; it summarizes literature showing that AI/ML approaches achieve faster and more accurate antenna design solutions than conventional CEM tools (HFSS, CST, FEKO, etc.).</t>
  </si>
  <si>
    <t>The authors state that the field is still at an early stage and that further research and development are needed to fully exploit the potential of AI/ML in antenna design.</t>
  </si>
  <si>
    <t>Review of ANN/DNN, decision trees, SVM/SVR, GPR, and metaheuristics (GA, PSO) for antenna design and measurement</t>
  </si>
  <si>
    <t>A comprehensive review of AI and machine learning techniques in antenna design optimization and measurement.pdf</t>
  </si>
  <si>
    <t>Ghewari et al.</t>
  </si>
  <si>
    <t>Advancements in Microstrip Patch Antenna Design Using Nature-Inspired Metaheuristic Optimization Algorithms: A Systematic Review</t>
  </si>
  <si>
    <t>This systematic review examines the application of nature-inspired metaheuristic optimization algorithms (GA, PSO, DE, ABC, BFO, ACO, CS, FA, GWO, BA, IWO) to the design of microstrip patch antennas (MPA).</t>
  </si>
  <si>
    <t>This is a qualitative review summarizing the impact of individual algorithms on bandwidth, return loss, gain, radiation efficiency, and miniaturization of MPAs, without a unified quantitative comparison across studies.</t>
  </si>
  <si>
    <t>Not stated explicitly: the review does not uniformly quantify the performance of individual methods and does not compare them on a common benchmark.</t>
  </si>
  <si>
    <t>Metaheuristics: GA, PSO, DE, ABC, BFO, ACO, CS, FA, GWO, BA, IWO</t>
  </si>
  <si>
    <t>Advancements in Microstrip Patch Antenna Design Using Nature-Inspired Metaheuristic Optimization Algorithms A Systematic Review.pdf</t>
  </si>
  <si>
    <t>Guo et al.</t>
  </si>
  <si>
    <t>Antenna Technologies for 6G – Advances and Challenges</t>
  </si>
  <si>
    <t>Artificial intelligence represents one of the key technologies supporting advanced antenna design for 6G, alongside hybrid arrays, reconfigurable surfaces, and THz antennas, particularly for surrogate modeling and inverse synthesis.</t>
  </si>
  <si>
    <t>A review article with no original experimental results; in its AI section, it summarizes, e.g., a BPNN surrogate + multi-objective GA, an inverse ANN model for multi-objective antenna design, an RBFNN tuned by differential evolution (SADE) for phase nulling, and a GRNN for synthesizing excitation amplitudes of conformal arrays.</t>
  </si>
  <si>
    <t>Not stated explicitly: this is a conceptual review of 6G antenna technologies; specific limitations of individual AI methods are not discussed.</t>
  </si>
  <si>
    <t>Review of BPNN+GA, inverse ANN, RBFNN+SADE, and GRNN for antenna design/synthesis</t>
  </si>
  <si>
    <t>old/101 - Antenna Technologies for 6G – Advances and Challenges.pdf</t>
  </si>
  <si>
    <t>A Planar Array Synthesis Method Based on Deep Learning and Radiation Pattern Superposition Method</t>
  </si>
  <si>
    <t>The authors propose a dual-branch convolutional neural network (CNN) with hybrid training combining data-driven and physics-informed approximation for real-time synthesis of multi-beam radiation patterns of planar antenna arrays.</t>
  </si>
  <si>
    <t>The method achieves sidelobe suppression of 20-40 dB for two-beam steering over an off-axis angle range of 10°-20°; synthesis takes about 0.05 s (dataset generation ~0.7 ms per sample) and outperforms stochastic optimization algorithms and classical DNNs in efficiency and pattern regularity.</t>
  </si>
  <si>
    <t>Not stated explicitly: the text does not state specific limits of the method beyond the tested angle range (10°-20°) and the two-beam scenario.</t>
  </si>
  <si>
    <t>Dual-branch CNN with physics-informed hybrid training</t>
  </si>
  <si>
    <t>A_Planar_Array_Synthesis_Method_Based_on_Deep_Learning_and_Radiation_Pattern_Superposition_Method.pdf</t>
  </si>
  <si>
    <t>An Effective Antenna Shape Optimization Framework Employing Machine-Learning-Based Approach</t>
  </si>
  <si>
    <t>The authors propose an antenna shape optimization framework based on a self-supervised-learning autoencoder (AE), which extracts latent features of antenna shapes and enables optimization with strong extrapolation capability at low training cost.</t>
  </si>
  <si>
    <t>The framework was validated on a metasurface antenna and a transmitarray antenna; the fabricated transmitarray achieved a measured gain of 27.75 dBi (29 dBi in simulation) with an aperture efficiency of 42% and full 360° phase coverage using a single basic element, with processing completed in 13.9 h compared to tens to hundreds of hours for reference GAN/VAE/MAE methods.</t>
  </si>
  <si>
    <t>Not stated explicitly: the final structure requires manual selection by the designer with regard to simplicity and low manufacturing complexity; the framework was validated on only two antenna types (metasurface and transmitarray).</t>
  </si>
  <si>
    <t>Self-supervised-learning autoencoder (AE) + latent-space optimization</t>
  </si>
  <si>
    <t>old/162 - An Effective Antenna Shape Optimization Framework Employing Machine-Learning-Based Approach.pdf</t>
  </si>
  <si>
    <t>Jahanbakhsh Basherlou et al.</t>
  </si>
  <si>
    <t>Antenna Design and Optimization for 5G, 6G, and IoT</t>
  </si>
  <si>
    <t>This editorial for the Special Issue summarizes 11 contributions devoted to the design and optimization of antennas for 5G, 6G, and IoT, including MIMO arrays, near-field analysis of Vivaldi antennas, AMC structures, antenna array reliability, and AI/ML-driven optimization.</t>
  </si>
  <si>
    <t>The individual summarized contributions report specific figures, e.g., a bandwidth of 2800 MHz and ECC&lt;0.005 for a MIMO array, or an impedance bandwidth of 80.7% (1.7-4.0 GHz) with a gain of 7.0±1.0 dBi for a dipole antenna with an AMC reflector; however, this is an editorial without its own unified result.</t>
  </si>
  <si>
    <t>Not stated explicitly: this is an editorial summarizing the special issue; specific methodological limitations are not discussed.</t>
  </si>
  <si>
    <t>Various (editorial summarizing the special issue; generally mentions AI/ML-driven antenna optimization across the contributions)</t>
  </si>
  <si>
    <t>Antenna Design and Optimization for 5G, 6G, and IoT.pdf</t>
  </si>
  <si>
    <t>Lu et al.</t>
  </si>
  <si>
    <t>Optimization of Antenna Array Configurations Using Deep Learning</t>
  </si>
  <si>
    <t>Deep neural networks (FNN/Set Transformer) can be used as a differentiable surrogate for the cost function of a sparse phased array, enabling gradient-based optimization of element positions and significant reduction of sidelobes.</t>
  </si>
  <si>
    <t>The cost function (main-to-side-lobe ratio) for the ten best configurations decreased on average by 740% (range 699-816%) with penalization, and by 77% without penalization; the FNN surrogate achieved an MSE of 0.007 (Set Transformer 0.06) with inference of ~0.25 ms on an RTX 4070 Ti GPU.</t>
  </si>
  <si>
    <t>Not stated explicitly: the method was tested only on ten configurations with the lowest initial cost; broader generalization is not verified in the text.</t>
  </si>
  <si>
    <t>FNN/Set Transformer surrogate for the cost function + gradient descent</t>
  </si>
  <si>
    <t>Optimization_of_Antenna_Array_Configurations_Using_Deep_Learning.pdf</t>
  </si>
  <si>
    <t>Pan et al.</t>
  </si>
  <si>
    <t>Physics-Informed Graph Neural Networks for the Inverse Design of GHz Reconfigurable Antenna</t>
  </si>
  <si>
    <t>A physics-informed graph neural network (incorporating Kirchhoff's current law) can predict the RF switch configuration of a reconfigurable antenna from a desired current distribution for inverse radiation-pattern design.</t>
  </si>
  <si>
    <t>The GNN achieved a switch prediction accuracy of 93.2% (TPR 87.97%, TNR 98.02%); reconstructed radiation patterns had an MSE of 0.001–0.0064 and an average current-distribution EVM of ~19.85 A/m for a sample of 10 random configurations.</t>
  </si>
  <si>
    <t>The authors state that the architecture was optimized only for the given antenna size, validation was performed only in simulation, and scalability to other dimensions as well as real experimental verification are left for future work.</t>
  </si>
  <si>
    <t>Physics-informed graph neural network (GNN)</t>
  </si>
  <si>
    <t>Physics-Informed_Graph_Neural_Networks_for_the_Inverse_Design_of_GHz_Reconfigurable_Antenna.pdf</t>
  </si>
  <si>
    <t>Sallam et al.</t>
  </si>
  <si>
    <t>Physics-Informed Deep Neural Network for Low Sidelobe Time-Modulated Antenna Array Synthesis With Harmonic Suppression</t>
  </si>
  <si>
    <t>A physics-informed DNN can, without external training data, optimize the switching sequences of a time-modulated array to simultaneously minimize both SLL and SBL, significantly faster than evolutionary algorithms.</t>
  </si>
  <si>
    <t>For a 16-element TMLA, PIDNN achieved a final loss value of 0.2721 dB after 250 iterations (53 s), whereas GA required 4,722,500 pattern evaluations (&gt;2 hours) to reach a value of 0.5656 dB; GA achieved slightly better sidelobe suppression, while PIDNN was significantly faster.</t>
  </si>
  <si>
    <t>Not stated explicitly: the authors merely note that this is the first application of a PINN to TMAA synthesis, without discussing specific limitations.</t>
  </si>
  <si>
    <t>Physics-informed DNN (PIDNN) for TMAA switching sequence</t>
  </si>
  <si>
    <t>Physics-Informed_Deep_Neural_Network_for_Low_Sidelobe_Time-Modulated_Antenna_Array_Synthesis_With_Harmonic_Suppression.pdf</t>
  </si>
  <si>
    <t>Rapid Multi-Objective Antenna Synthesis via Deep Neural Network Surrogate-Driven Evolutionary Optimization</t>
  </si>
  <si>
    <t>A branched deep convolutional network trained as a universal (offline) surrogate for polygonal patch antennas enables fast antenna synthesis for arbitrary multi-objective specifications via surrogate-driven evolutionary optimization.</t>
  </si>
  <si>
    <t>Antenna synthesis takes on the order of seconds, compared to hours to days for evolutionary methods with a full-wave solver; the fabricated wideband antenna achieved a maximum gain of 4.62 dBi at 2.65 GHz and a bandwidth of ~11.3% (below −8 dB), while the dual-band antenna achieved maximum gains of 4 dBi and 2.1 dBi.</t>
  </si>
  <si>
    <t>The authors state that the approach requires more training samples than methods with a limited/reduced design space, which increases the computational cost of dataset preparation.</t>
  </si>
  <si>
    <t>Branched DCNN surrogate + differential evolution (surrogate-assisted EA)</t>
  </si>
  <si>
    <t>Rapid_Multi-Objective_Antenna_Synthesis_via_Deep_Neural_Network_Surrogate-Driven_Evolutionary_Optimization.pdf</t>
  </si>
  <si>
    <t>Design of Sparse Antenna Arrays Using the Physics-Aware Generative Adversarial Network</t>
  </si>
  <si>
    <t>The authors propose an unsupervised physics-aware generative adversarial network (PAGAN) method with a physics-informed module (PANN), which synthesizes sparse antenna arrays (element excitation, spacing, number of elements) to achieve a desired radiation pattern.</t>
  </si>
  <si>
    <t>According to the authors, the method achieves the desired radiation pattern with fewer antennas, faster and more efficiently than existing methods; specific numerical values for speedup/accuracy are not given in the available text excerpt.</t>
  </si>
  <si>
    <t>Not stated explicitly: in the available excerpt (introduction and references), no specific limitations of the method are given.</t>
  </si>
  <si>
    <t>Physics-aware GAN (PAGAN) with a physics-informed neural network (PANN), unsupervised learning</t>
  </si>
  <si>
    <t>Design_of_Sparse_Antenna_Arrays_Using_the_Physics-Aware_Generative_Adversarial_Network.pdf</t>
  </si>
  <si>
    <t>An Efficient Method for Complex Digitally Coded Antenna Design Based on Evolutionary Computation and Machine Learning Techniques</t>
  </si>
  <si>
    <t>The authors propose the DC-SADEA method (a surrogate-model-assisted evolutionary algorithm oriented toward digitally coded antennas) using ensemble learning surrogate modeling and genetic operators for the design of high-resolution pixelated (digitally coded) antennas.</t>
  </si>
  <si>
    <t>The method was demonstrated on a broadband UWB antenna (~1900 pixels) and the feed network of a 5G base station (~1500 pixels); measurements confirmed the efficiency and effectiveness of DC-SADEA, but specific numerical improvements are not given in the available text excerpt.</t>
  </si>
  <si>
    <t>Not stated explicitly: in the available excerpt (introduction and closing references/biographies), no explicit limitation of the method is stated.</t>
  </si>
  <si>
    <t>Ensemble learning surrogate model + genetic algorithm (SADEA framework) for digitally coded antennas</t>
  </si>
  <si>
    <t>An_Efficient_Method_for_Complex_Digitally_Coded_Antenna_Design_Based_on_Evolutionary_Computation_and_Machine_Learning_Techniques.pdf</t>
  </si>
  <si>
    <t>An optimized surrogate model and algorithm with rapid multi-parameter processing capability for antenna design</t>
  </si>
  <si>
    <t>The authors propose a methodology combining an optimized surrogate model (Temporal Convolutional Network, TCN) with the adaptive NSGA-III algorithm for rapid multi-objective optimization of antenna parameters (S11 and gain) for a 5G mmWave antenna.</t>
  </si>
  <si>
    <t>The proposed method reduces the mean squared error (MSE) by 12.489% and 3.277% compared to CNN and BiLSTM models, and shortens the computation time by 2.670% and 70.419% compared to the same models.</t>
  </si>
  <si>
    <t>Not stated explicitly: the conclusion only states that the method outperforms existing approaches in prediction accuracy and computational cost, without specifically stating limitations.</t>
  </si>
  <si>
    <t>TCN surrogate model + adaptive NSGA-III multi-objective optimization</t>
  </si>
  <si>
    <t>An optimized surrogate model and algorithm with rapid multi-parameter processing capability for antenna design.pdf</t>
  </si>
  <si>
    <t>Deep Learning-Enabled Generative Antenna Design: Review and Prospects</t>
  </si>
  <si>
    <t>This review article examines generative antenna design (GAD) using deep learning (especially GAN and VAE), which can overcome the limits of conventional parametric design thanks to a higher number of degrees of freedom and built-in prior knowledge.</t>
  </si>
  <si>
    <t>The authors state that DL-driven synthesis can increase the gain bandwidth of a metalens antenna by 52% and reduce the sidelobe level (SLL) below -30 dB, with the possibility of full amplitude and phase control.</t>
  </si>
  <si>
    <t>Not stated explicitly: the text (available excerpt) discusses future challenges and trends in generative design rather than specific identified limitations of current methods.</t>
  </si>
  <si>
    <t>Generative deep learning: GAN (conditional GAN), VAE for generative antenna design (GAD)</t>
  </si>
  <si>
    <t>Deep_Learning-Enabled_Generative_Antenna_Design_Review_and_Prospects.pdf</t>
  </si>
  <si>
    <t>Filtering Antenna Design and Optimization by the Generative Machine Learning Approach</t>
  </si>
  <si>
    <t>The authors propose a generative ML framework (AC-GAN combined with a threshold-moving random forest classifier and evolutionary refinement) for automated inverse design and optimization of filtering antennas requiring simultaneous control of S-parameters and gain across multiple bands.</t>
  </si>
  <si>
    <t>The proposed framework was used to design a compact filtering antenna, whose fabricated prototype shows close agreement between measured and simulated results; the authors report higher efficiency (fewer EM simulations), higher design quality, and robustness compared to conventional GA optimizations, without specific percentage figures in the available excerpt.</t>
  </si>
  <si>
    <t>The authors state that future work will focus on improving training stability and computational efficiency, and that transfer learning could accelerate convergence and improve generalization across antenna topologies.</t>
  </si>
  <si>
    <t>AC-GAN + threshold-moving random forest (TM-RF) classifier + evolutionary refinement</t>
  </si>
  <si>
    <t>Filtering_Antenna_Design_and_Optimization_by_the_Generative_Machine_Learning_Approach.pdf</t>
  </si>
  <si>
    <t>Physics-Informed Deep Neural Network for Low Sidelobe Cosecant-Squared Pattern Time-Modulated Antenna Array with Harmonic Suppression</t>
  </si>
  <si>
    <t>A physics-informed deep neural network (PIDNN) with phase tuning can, without training data, synthesize a cosecant-squared radiation pattern of a time-modulated linear array while simultaneously suppressing SLL and harmonic sidebands.</t>
  </si>
  <si>
    <t>For a 30-element TMLA, SLL of -39.54 dB and max. SBL of -42.27 dB were achieved; for a 40-element TMLA, SLL of -29.28 dB and SBL of -32.02 dB; PIDNN achieved the result in 2.87 min compared to 47.13 min for the genetic algorithm.</t>
  </si>
  <si>
    <t>Not stated explicitly: the authors do not mention specific limitations of the method in the available text; the results are simulation-only.</t>
  </si>
  <si>
    <t>Physics-informed DNN (PIDNN) with phase tuning</t>
  </si>
  <si>
    <t>Physics-Informed Deep Neural Network for Low Sidelobe Cosecant-Squared Pattern Time-Modulated Antenna Array with Harmonic Suppression.pdf</t>
  </si>
  <si>
    <t>Differential Evolution Based Manifold Gaussian Process Machine Learning for Microwave Filter's Parameter Extraction</t>
  </si>
  <si>
    <t>A method of differential-evolution-optimized manifold Gaussian process (DE-MGP) is proposed, which uses Isomap dimensionality reduction to address the problem of insufficient samples and high data dimensionality in surrogate modeling of microwave filters for coupling-parameter extraction.</t>
  </si>
  <si>
    <t>The test error of the surrogate model was reduced to 0.84% for the fourth-order coupled filter and to 1.53% for the sixth-order filter.</t>
  </si>
  <si>
    <t>The authors identify the risk of DE training of the manifold parameters becoming stuck in a local optimum, and the unresolved problem of a multivalued inverse surrogate model, as future challenges.</t>
  </si>
  <si>
    <t>F2 - Microwave filters and components</t>
  </si>
  <si>
    <t>DE-optimized manifold Gaussian process (Isomap + GPR)</t>
  </si>
  <si>
    <t>old/180 - Differential Evolution Based Manifold Gaussian Process Machine Learning for Microwave Filter’s Parameter Extraction.pdf</t>
  </si>
  <si>
    <t>Jin et al.</t>
  </si>
  <si>
    <t>A Novel Deep Neural Network Topology for Parametric Modeling of Passive Microwave Components</t>
  </si>
  <si>
    <t>A new deep neural network topology split into two parts (joint geometry+frequency processing vs. geometry only) is proposed for parametric modeling of S-parameters of passive microwave components with fewer training parameters.</t>
  </si>
  <si>
    <t>The proposed two-part DNN topology achieves model accuracy comparable to a conventional fully connected neural network with significantly fewer training parameters; specific numerical values are not stated in the available excerpt.</t>
  </si>
  <si>
    <t>Not stated explicitly: the method assumes that the relationship of S-parameters with geometric variables is more complex than with frequency, which may not hold universally for all component types.</t>
  </si>
  <si>
    <t>Two-part deep neural network (DNN) + two-stage training</t>
  </si>
  <si>
    <t>old/190 - A Novel Deep Neural Network Topology for Parametric Modeling of Passive Microwave Components.pdf</t>
  </si>
  <si>
    <t>Inverse Modeling for Filters Using a Regularized Deep Neural Network Approach</t>
  </si>
  <si>
    <t>The authors propose a regularized deep belief network (R-DBN) for inverse modeling of coupling matrix extraction from S-parameters of microwave filters, combining unsupervised training using restricted Boltzmann machines with Bayesian regularization.</t>
  </si>
  <si>
    <t>For a fourth-order filter, the model converges after 2039 steps with a training MSE = 0.0001; for an eighth-order dual-band filter (10000 training sets), the testing MAE on 200 new sets is 0.0018, with training taking less than 20 h compared to the days required for a deep MLP.</t>
  </si>
  <si>
    <t>Not stated explicitly: a separate discussion of limitations is missing; the authors state that they present only two experiments, and broader applicability requires prior knowledge of the filter order and topology.</t>
  </si>
  <si>
    <t>Regularized Deep Belief Network (RBM + Bayesian regularization) for inverse coupling matrix extraction</t>
  </si>
  <si>
    <t>old/215 - Inverse Modeling for Filters Using a Regularized Deep Neural Network Approach.pdf</t>
  </si>
  <si>
    <t>Sekhri et al.</t>
  </si>
  <si>
    <t>Double Deep Q-Learning Approach for Tuning Microwave Cavity Filters using Locally Linear Embedding Technique</t>
  </si>
  <si>
    <t>The authors propose a Computer-Aided Tuning method using Double Deep Q-Learning (DDQN) combined with Locally Linear Embedding (LLE) for dimensionality reduction, for automated tuning of microwave cavity filters.</t>
  </si>
  <si>
    <t>The algorithm tuned a simulated ninth-order filter (four tuning screws) in only 23 steps, compared to 48 and 43 steps in compared works using PCA+DQN for fourth-order filters, and achieved a target return loss below -26 dB.</t>
  </si>
  <si>
    <t>The authors state that the research focused only on the S11 characteristic (reflection parameter) without accounting for the filter's insertion loss, and that the distance from the target S11 value was used without accounting for side boundary lines for a sharper transition between stopband and passband.</t>
  </si>
  <si>
    <t>Double Deep Q-Network (DDQN) + Locally Linear Embedding (LLE) for dimensionality reduction</t>
  </si>
  <si>
    <t>old/211 - Double Deep Q-Learning Approach for Tuning Microwave Cavity Filters using Locally Linear Embedding Technique.pdf</t>
  </si>
  <si>
    <t>A Novel Training Approach for Parametric Modeling of Microwave Passive Components Using Padé via Lanczos and EM Sensitivities</t>
  </si>
  <si>
    <t>A new training approach for parametric neuro-TF modeling of microwave passive components is proposed, using the matrix Padé-via-Lanczos method and EM sensitivities for reliable pole/zero pairing under large geometric variations.</t>
  </si>
  <si>
    <t>The proposed training approach (MPVL + EM sensitivities) achieves better accuracy than existing methods under large geometric variations; computing EM adjoint sensitivities increases computational cost by approximately 10–20% relative to the EM simulation alone.</t>
  </si>
  <si>
    <t>The authors state that computing the EM adjoint sensitivities required by the method increases the cost by approximately 10–20% relative to a standard EM simulation, although they consider this negligible relative to the overall cost.</t>
  </si>
  <si>
    <t>Neuro-transfer function (ANN + pole/zero) with MPVL and EM sensitivities</t>
  </si>
  <si>
    <t>old/191 - A Novel Training Approach for Parametric Modeling of Microwave Passive Components Using Padé via Lanczos and EM Sensitivities.pdf</t>
  </si>
  <si>
    <t>Parametric Modeling of EM Behavior of Microwave Components Using Combined Neural Networks and Hybrid-Based Transfer Functions</t>
  </si>
  <si>
    <t>A hybrid neuro-transfer function technique combining pole-residue and rational transfer function formats is proposed, addressing the discontinuity and non-smoothness of poles/residues under large geometric variations in neuro-TF parametric modeling of microwave components.</t>
  </si>
  <si>
    <t>The proposed hybrid neuro-TF technique achieves better accuracy than existing pole-residue and rational neuro-TF methods under large geometric variations and high transfer function order; specific numerical values are not stated in the available excerpt.</t>
  </si>
  <si>
    <t>The authors state that the current method addresses pole/residue discontinuity at the same transfer function order but does not address the discontinuity arising from order changing, which they leave as future work.</t>
  </si>
  <si>
    <t>Hybrid neuro-transfer function (ANN + pole-residue/rational TF)</t>
  </si>
  <si>
    <t>old/195 - Parametric Modeling of EM Behavior of Microwave Components Using Combined Neural Networks and Hybrid-Based Transfer Functions.pdf</t>
  </si>
  <si>
    <t>Kazemi et al.</t>
  </si>
  <si>
    <t>Comparative Analysis of Machine Learning Techniques for Temperature Compensation in Microwave Sensors</t>
  </si>
  <si>
    <t>Machine learning classifiers and regressors are compared for temperature compensation in a split-ring resonator microwave sensor, to recognize material type and concentration and extract ambient temperature from the frequency response.</t>
  </si>
  <si>
    <t>Linear regression for temperature extraction achieved R² = 97% (10-fold cross-validation) and a mean absolute error of 0.58 °C; after hyperparameter optimization, MLP and SVM achieved classification accuracies of 0.97 and 0.99, respectively, for low methanol concentrations (1%).</t>
  </si>
  <si>
    <t>Not stated explicitly: the model was validated only for methanol/acetone-water mixtures in the temperature range 25-50 °C; generalization to other substances or a wider temperature range is not discussed in the available excerpt.</t>
  </si>
  <si>
    <t>Comparison of classifiers/regressors (SVM, MLP, linear regression) + hyperparameter optimization</t>
  </si>
  <si>
    <t>old/187 - Comparative Analysis of Machine Learning Techniques for Temperature Compensation in Microwave Sensors.pdf</t>
  </si>
  <si>
    <t>Improved Modeling of Microwave Structures Using Performance-Driven Fully-Connected Regression Surrogate</t>
  </si>
  <si>
    <t>The authors extend the performance-driven modeling paradigm with a fully-connected regression model (FCRM) for accurate and fast modeling of microwave structures (miniaturized couplers).</t>
  </si>
  <si>
    <t>On two examples of miniaturized microstrip couplers, the method outperforms both conventional modeling techniques and nested kriging, with a reliable model built from only a few hundred samples.</t>
  </si>
  <si>
    <t>Not stated explicitly: the text of the available section does not contain a discussion of limitations; the scalability of FCRM to structures with a higher number of parameters (the curse of dimensionality mentioned in the introduction) generally remains an open question.</t>
  </si>
  <si>
    <t>FCRM (deep regression surrogate) + Bayesian optimization of architecture/hyperparameters, performance-driven domain confinement</t>
  </si>
  <si>
    <t>old/45 - Improved Modeling of Microwave Structures Using Performance-Driven Fully-Connected Regression Surrogate.pdf</t>
  </si>
  <si>
    <t>Ohira et al.</t>
  </si>
  <si>
    <t>A Novel Deep-Q-Network-Based Fine-Tuning Approach for Planar Bandpass Filter Design</t>
  </si>
  <si>
    <t>The authors propose a DQN-based approach for fine-tuning the structural parameters of planar microstrip bandpass filters with cross-couplings, using two neural surrogate models (forward and inverse) to significantly accelerate reinforcement learning.</t>
  </si>
  <si>
    <t>The constructed DQN finds the optimal structural parameters of a fifth-order filter within 30 steps (examples: 26/29/18 steps), with a tuning time of about 0.4 s; training for 30000 episodes took 3 hours, whereas without the forward model it would be estimated to take 625 days.</t>
  </si>
  <si>
    <t>Not stated explicitly: a separate limitations section is missing; the method requires prior accurate training of two NN surrogate models and was demonstrated only on one type of filter (fifth-order microstrip BPF).</t>
  </si>
  <si>
    <t>Deep Q-Network (DQN) + NN forward/inverse surrogate models</t>
  </si>
  <si>
    <t>old/204 - A Novel Deep-Q-Network-Based Fine-Tuning Approach for Planar Bandpass Filter Design.pdf</t>
  </si>
  <si>
    <t>Ricci et al.</t>
  </si>
  <si>
    <t>Machine-Learning-Based Microwave Sensing: A Case Study for the Food Industry</t>
  </si>
  <si>
    <t>A complete design workflow is presented, from microwave dataset acquisition to real-time hardware deployment of MLP classifiers for contaminant detection in packaged food.</t>
  </si>
  <si>
    <t>MLP classifiers achieved "exceptionally high" contaminant detection accuracy; the two lightest models were implemented on an ARM CPU and an FPGA SoC for real-time operation; the specific numerical accuracy is not stated in the available excerpt.</t>
  </si>
  <si>
    <t>The authors acknowledge that the approach was verified only on a specific case study (containers of hazelnut-cocoa spread); generalization to other scenarios and industries has not yet been experimentally verified.</t>
  </si>
  <si>
    <t>MLP classifier (FPGA/ARM implementation)</t>
  </si>
  <si>
    <t>old/188 - Machine-Learning-Based Microwave Sensing A Case Study for the Food Industry.pdf</t>
  </si>
  <si>
    <t>Roshani et al.</t>
  </si>
  <si>
    <t>Design of a Microwave Lowpass–Bandpass Filter using Deep Learning and Artificial Intelligence</t>
  </si>
  <si>
    <t>The authors propose a compact dual-band lowpass-bandpass microwave filter, in which an artificial neural network and deep learning are used to extract the filter's transfer function for placing transmission zeros at the desired frequency.</t>
  </si>
  <si>
    <t>The lowpass channel has a cutoff frequency of 1 GHz with insertion loss better than 0.2 dB; the bandpass channel operates at 2.4 GHz with an insertion loss of 0.5 dB in the passband.</t>
  </si>
  <si>
    <t>Not stated explicitly: the conclusion text does not contain a separate limitations section, only states that the desired results were achieved.</t>
  </si>
  <si>
    <t>ANN/deep learning for filter transfer function extraction</t>
  </si>
  <si>
    <t>old/202 - Design of a Microwave Lowpass – Bandpass Filter using Deep Learning and Artificial Intelligence.pdf</t>
  </si>
  <si>
    <t>Sedaghat et al.</t>
  </si>
  <si>
    <t>Compressed Machine Learning-Based Inverse Model for the Design of Microwave Filters</t>
  </si>
  <si>
    <t>The authors propose an inverse model combining LS-SVM regression with PCA compression to estimate the geometric parameters of a microstrip bandpass filter directly from the required scattering parameters, without iterative optimization.</t>
  </si>
  <si>
    <t>The model was trained on L=200 samples with 9 geometric parameters and a 2002-dimensional input (S11, S21); the standalone LS-SVM model without PCA showed lower accuracy due to the high input dimensionality relative to the small number of samples, whereas the conventional ADS optimizer converged after 125 iterations in 3 min 24 s.</t>
  </si>
  <si>
    <t>The accuracy of the standalone LS-SVM inverse model without compression was lower due to the high dimensionality of the input space (2002) relative to the small number of training samples (200) - the so-called curse of dimensionality; in addition, the inverse task is ill-posed (multiple geometry configurations may correspond to the same S-parameters).</t>
  </si>
  <si>
    <t>LS-SVM regression + PCA compression (inverse model)</t>
  </si>
  <si>
    <t>old/172 - Compressed Machine Learning-Based Inverse Model for the Design of Microwave Filters.pdf</t>
  </si>
  <si>
    <t>Gocen et al.</t>
  </si>
  <si>
    <t>Machine Learning Assisted Novel Microwave Sensor Design for Dielectric Parameter Characterization of Water–Ethanol Mixture</t>
  </si>
  <si>
    <t>A new ML-assisted microwave sensor with two coupled spiral resonators (band-stop configuration) is proposed for characterizing dielectric parameters and the concentration of water-ethanol mixtures based on the stop-band frequency shift.</t>
  </si>
  <si>
    <t>Numerical and experimental results show good agreement; the sensor (15×20 mm, 1.8 GHz) enables prediction of dielectric parameters/ethanol concentration using an ML model; the specific numerical prediction accuracy is not stated in the available excerpt.</t>
  </si>
  <si>
    <t>Not stated explicitly: the sensor was tested only for water-ethanol mixtures in a narrow frequency band (1.8 GHz); generalization to other liquids is not demonstrated.</t>
  </si>
  <si>
    <t>ML regression predictive model (specific algorithm not stated in the excerpt)</t>
  </si>
  <si>
    <t>old/181 - Machine Learning Assisted Novel Microwave Sensor Design for Dielectric Parameter Characterization of Water–Ethanol Mixture.pdf</t>
  </si>
  <si>
    <t>Design of Terahertz InP pHEMT Using Machine Learning Assisted Global Optimization Techniques</t>
  </si>
  <si>
    <t>The authors apply the SADEA algorithm (surrogate model assisted differential evolution for antenna synthesis, based on Gaussian Process and differential evolution) for the first time to the design of terahertz InP pHEMT transistors, optimizing both material and structural parameters.</t>
  </si>
  <si>
    <t>The optimized design achieved a 57% improvement in fT (from 220 GHz to 336 GHz) and an increase in fmax from 550 GHz to 770 GHz (an improvement of approx. 40%) compared to the commercial Diramics design, while maintaining a 100 nm gate length; the optimization took 16 hours on a standard desktop, compared to several days for conventional methods.</t>
  </si>
  <si>
    <t>Not stated explicitly: the work optimizes 16 design parameters, but the gate length was not optimized in this study; some optimized parameters reached the bounds of the search range, which may indicate a need for a wider search space.</t>
  </si>
  <si>
    <t>SADEA – Gaussian Process surrogate model + differential evolution (DE) global optimization</t>
  </si>
  <si>
    <t>old/176 - Design of Terahertz InP pHEMT Using Machine Learning Assisted Global Optimization Techniques.pdf</t>
  </si>
  <si>
    <t>Artificial Neural Network for Dimensionality Reduction and Its Application to Microwave Filters Inverse Modeling</t>
  </si>
  <si>
    <t>A dimensionality reduction (DR) strategy using an artificial neural network (DR-ANN) is proposed to simplify inverse modeling of microwave filters, combinable with multi-valued neural networks and differential evolution optimization.</t>
  </si>
  <si>
    <t>The DR-ANN approach increased the robustness and convergence speed of DE optimization for coupling matrix extraction and waveguide filter optimization compared to direct DE optimization; specific numerical values are not stated in the available excerpt.</t>
  </si>
  <si>
    <t>Not stated explicitly as a limitation, but the authors mention future extension to more complex (possibly multimodal) equivalent circuits of building blocks, suggesting verification only on limited examples (coupling matrix extraction, waveguide filter design).</t>
  </si>
  <si>
    <t>DR-ANN (dimensionality reduction) + multi-valued NN + DE optimization</t>
  </si>
  <si>
    <t>old/183 - Artificial Neural Network for Dimensionality Reduction and Its Application to Microwave Filters Inverse Modeling.pdf</t>
  </si>
  <si>
    <t>State-of-the-Art: AI-Assisted Surrogate Modeling and Optimization for Microwave Filters</t>
  </si>
  <si>
    <t>This review article analyzes and summarizes the current state of AI-assisted surrogate modeling and optimization for microwave filter design, including data sampling, surrogate techniques, and advanced optimization algorithms.</t>
  </si>
  <si>
    <t>This is a review article without its own experiment; it summarizes techniques for smart data sampling, advanced surrogate modeling, and optimization algorithms for microwave filter design, without specific numerical results in the available excerpt.</t>
  </si>
  <si>
    <t>Not stated explicitly: the article is a review without its own experiment; an explicit discussion of the limitations of individual methods is not included in the available excerpt (abstract + references).</t>
  </si>
  <si>
    <t>Review: ANN/GPR/SVM surrogate modeling + PSO/GA/DE optimization</t>
  </si>
  <si>
    <t>old/178 - State-of-the-Art AI-Assisted Surrogate Modeling and Optimization for Microwave Filters.pdf</t>
  </si>
  <si>
    <t>A Microwave Filter Yield Optimization Method Based on Off-Line Surrogate Model-Assisted Evolutionary Algorithm</t>
  </si>
  <si>
    <t>A YSMA method (yield optimization for filters using an offline surrogate-model-assisted evolutionary algorithm) is proposed, which builds a single accurate offline surrogate model that fully replaces EM simulations for global yield optimization of filters with more than 10 sensitive design variables.</t>
  </si>
  <si>
    <t>The YSMA method was demonstrated on two real-world examples with 11 and 14 design variables and showed advantages over the dominant sequential online local optimization methods; the specific numerical yield improvement is not stated in the available excerpt.</t>
  </si>
  <si>
    <t>The authors state that the search range for yield optimization is currently determined empirically, and plan a more systematic method for defining it as future work.</t>
  </si>
  <si>
    <t>Offline ML surrogate model + evolutionary algorithm (YSMA)</t>
  </si>
  <si>
    <t>old/182 - A Microwave Filter Yield Optimization Method Based on Off-Line Surrogate Model-Assisted Evolutionary Algorithm.pdf</t>
  </si>
  <si>
    <t>Parameterized Modeling Incorporating MOR-Based Rational Transfer Functions With Neural Networks for Microwave Components</t>
  </si>
  <si>
    <t>The authors propose a new neuro-TF method combining neural networks with a MOR-based rational transfer function, which addresses the "order-changing" problem and pole/zero mismatch without requiring EM sensitivities.</t>
  </si>
  <si>
    <t>For a three-pole H-plane filter (49 training, 36 testing samples, EM simulation ~25 min), the model achieves training/testing errors of 0.69%/1.37%; for a fifth-order waveguide bandpass filter (81 training, 64 testing samples, EM simulation ~54 min), the error is 0.61%/0.78%, in both cases the lowest among the compared methods.</t>
  </si>
  <si>
    <t>Not stated explicitly: the method requires computing MOR (MPVL algorithm) for each geometric sample and was verified only on two types of waveguide filters.</t>
  </si>
  <si>
    <t>Neuro-TF (neural networks + MOR-based rational transfer function)</t>
  </si>
  <si>
    <t>old/203 - Parameterized Modeling Incorporating MOR-Based Rational Transfer Functions With Neural Networks for Microwave Components.pdf</t>
  </si>
  <si>
    <t>Zhuo et al.</t>
  </si>
  <si>
    <t>Parametric Modeling Incorporating Joint Polynomial-Transfer Function With Neural Networks for Microwave Filters</t>
  </si>
  <si>
    <t>The authors propose a neuro-PTF technique combining a polynomial function with a pole-residue transfer function and neural networks, which increases the accuracy of parametric models of the EM behavior of microwave filters, particularly under large geometric variations.</t>
  </si>
  <si>
    <t>The method is demonstrated on three application examples of microwave filters and produces more accurate models than existing neuro-TF methods; specific numerical accuracy values are not stated in the extracted text.</t>
  </si>
  <si>
    <t>Not stated explicitly: the text does not contain a specific discussion of limitations; the method requires a smoothness-discriminating algorithm to split subtransfer functions, which increases model complexity.</t>
  </si>
  <si>
    <t>Neuro-PTF (neural networks + polynomial and pole-residue transfer function)</t>
  </si>
  <si>
    <t>old/208 - Parametric Modeling Incorporating Joint Polynomial-Transfer Function With Neural Networks for Microwave Filters.pdf</t>
  </si>
  <si>
    <t>Dai et al.</t>
  </si>
  <si>
    <t>Automatic design of microwave filters by using relational induction neural networks</t>
  </si>
  <si>
    <t>The authors propose an unsupervised end-to-end framework called RINN (Relational Induction Neural Network), combining a clustering algorithm and deep reinforcement learning, for automatic design of microwave filters without prior engineering knowledge.</t>
  </si>
  <si>
    <t>RINN successfully designed several second-order filters with different properties and one sixth-order filter; for the sixth-order filter it achieved a reflection loss of -10 dB, after which re-parameterization by the clustering module further accelerated optimization convergence.</t>
  </si>
  <si>
    <t>Not stated explicitly: quantitative limitations are not specified in the text; the method is computationally demanding due to deep reinforcement learning training and was verified only on a small number of filter types.</t>
  </si>
  <si>
    <t>Relational Induction Neural Network (clustering + deep reinforcement learning, DRL)</t>
  </si>
  <si>
    <t>old/207 - Automatic design of microwave filters by using relational induction neural networks.pdf</t>
  </si>
  <si>
    <t>Feng et al.</t>
  </si>
  <si>
    <t>Feature and EM Sensitivity Co-Assisted Neuro-TF Surrogate Optimization for Microwave Filter Design</t>
  </si>
  <si>
    <t>The authors propose a new technique combining EM sensitivity with feature parameters (feature frequencies and heights) in a pole-zero neuro-TF surrogate model, accelerating gradient optimization of microwave filters and reducing the risk of becoming stuck in local minima.</t>
  </si>
  <si>
    <t>The technique is demonstrated on three microwave filter examples and achieves further convergence acceleration compared to existing feature-assisted methods; specific numerical values for speedup or accuracy are not stated in the available text.</t>
  </si>
  <si>
    <t>Not stated explicitly: the available text (introduction and author bios) does not contain a separate discussion of limitations; the method requires training an adjoint neuro-TF model with EM sensitivity, which increases the demands on training data preparation.</t>
  </si>
  <si>
    <t>Neuro-transfer function (neuro-TF) surrogate with adjoint EM sensitivity + trust-region gradient optimization</t>
  </si>
  <si>
    <t>old/201 - Feature and EM Sensitivity Co-Assisted Neuro-TF Surrogate Optimization for Microwave Filter Design.pdf</t>
  </si>
  <si>
    <t>Karahan et al.</t>
  </si>
  <si>
    <t>Deep-Learning-Based Inverse-Designed Millimeter-Wave Passives and Power Amplifiers</t>
  </si>
  <si>
    <t>Deep learning enables inverse design of multi-port EM structures co-designed with circuits for fast and automated synthesis of mmWave passive elements and power amplifiers without the need for repeated EM simulations.</t>
  </si>
  <si>
    <t>The proposed PA achieved a PAE of 16–24.7%, a saturated output power of 16.7–19.5 dBm, and a Psat,3dB bandwidth of 30–94 GHz (103.2% relative bandwidth), supporting single- and multi-band modulation at multi-Gb/s order.</t>
  </si>
  <si>
    <t>Not stated explicitly: the available excerpt does not contain a discussion of limitations in the conclusion; the method is demonstrated on a 2D on-chip structure, with extension to 3D EM structures mentioned only as a future direction in the introduction.</t>
  </si>
  <si>
    <t>Deep neural network (forward model) for inverse design</t>
  </si>
  <si>
    <t>old/189 - Deep-Learning-Based Inverse-Designed Millimeter-Wave Passives and Power Amplifiers.pdf</t>
  </si>
  <si>
    <t>Ma et al.</t>
  </si>
  <si>
    <t>A Learning-Based Methodology for Microwave Passive Component Design</t>
  </si>
  <si>
    <t>A cascaded convolutional neural network (CNN) model is proposed that, based on specified target characteristics, accelerates the design of planar microwave passive components and generates topologies different from classical templates.</t>
  </si>
  <si>
    <t>The proposed cascaded CNN model was verified by EM simulation and hardware realization for matching circuits and power dividers, and generates topologies different from canonical templates; specific numerical accuracy is not stated in the available excerpt.</t>
  </si>
  <si>
    <t>Not stated explicitly: the available excerpt does not contain a conclusion discussing limitations; the method was demonstrated only on symmetric planar passive components (matching circuits, power dividers).</t>
  </si>
  <si>
    <t>Cascaded convolutional neural network (CNN)</t>
  </si>
  <si>
    <t>old/184 - A Learning-Based Methodology for Microwave Passive Component Design.pdf</t>
  </si>
  <si>
    <t>Passos et al.</t>
  </si>
  <si>
    <t>PACOSYT: A Passive Component Synthesis Tool Based on Machine Learning and Tailored Modeling Strategies Towards Optimal RF and mm-Wave Circuit Designs</t>
  </si>
  <si>
    <t>Regression ML methods combined with purpose-tailored modeling strategies are investigated for modeling integrated inductors and transformers, integrated into the PACOSYT tool for rapid synthesis of optimal RF/mmWave passive components.</t>
  </si>
  <si>
    <t>The most accurate combination of ML technique and modeling strategy achieved an error below 2% relative to full-wave EM simulations and below 5% relative to measurements; the PACOSYT tool designs an inductor/transformer with optimal performance in the order of seconds and was used for automatic synthesis of hundreds of mmWave power amplifiers at 28 GHz.</t>
  </si>
  <si>
    <t>The authors point out that none of the tested ML techniques provide good results without a carefully tailored modeling strategy for the specific design problem; generic use of ML without such a strategy fails.</t>
  </si>
  <si>
    <t>Comparison of regression ML techniques (GPR, etc.) + optimization (PACOSYT)</t>
  </si>
  <si>
    <t>old/185 - PACOSYT A Passive Component Synthesis Tool Based on Machine Learning and Tailored Modeling Strategies Towards Optimal RF and mm-Wave Circuit Designs.pdf</t>
  </si>
  <si>
    <t>Roy et al.</t>
  </si>
  <si>
    <t>Swarm Intelligence-Homotopy Hybrid Optimization-Based ANN Model for Tunable Bandpass Filter</t>
  </si>
  <si>
    <t>The authors, for the first time, combine a topology-based homotopy local optimizer with metaheuristic global algorithms (WOA, GWO) and an ANN surrogate model for the design of tunable microwave filters.</t>
  </si>
  <si>
    <t>The ANN model serves as a surrogate to accelerate the hybrid optimization and to predict tunable circuit parameters at various stages of tuning; applied to a fifth-order tunable circuit and two EM simulation models of a fourth-order tBPF, with good agreement among computation, simulation, and measurement (specific numerical errors are not stated in the extracted text).</t>
  </si>
  <si>
    <t>Not stated explicitly: the text mentions general shortcomings of existing methods (homotopy is only a local optimizer, WOA/GWO suffer from slow convergence and low accuracy), but specific limitations of the proposed hybrid approach are not stated in the available excerpt.</t>
  </si>
  <si>
    <t>ANN surrogate + hybrid homotopy-WOA/GWO metaheuristic optimization</t>
  </si>
  <si>
    <t>old/214 - Swarm Intelligence-Homotopy Hybrid Optimization-Based ANN Model for Tunable Bandpass Filter.pdf</t>
  </si>
  <si>
    <t>Xue et al.</t>
  </si>
  <si>
    <t>An Unsupervised Microwave Filter Design Optimization Method Based on a Hybrid Surrogate Model-Assisted Evolutionary Algorithm</t>
  </si>
  <si>
    <t>The authors propose H-SMEAFO, a hybrid surrogate-model-assisted evolutionary algorithm for fully automated ('unsupervised') 3D optimization of microwave filter design without the need for designer interaction.</t>
  </si>
  <si>
    <t>For an 8th-order dual-band waveguide filter, H-SMEAFO reduced the number of required EM simulations by approximately 30% compared to the reference SMEAFO algorithm (712 vs. 1211 EM simulations in the specific example); the total design took approximately half a day on a standard desktop computer.</t>
  </si>
  <si>
    <t>Not stated explicitly: future work mentions the need for further acceleration of the method to reach the speed of an experienced designer; the method is demonstrated on only two specific waveguide filters.</t>
  </si>
  <si>
    <t>Hybrid surrogate-model-assisted evolutionary algorithm (H-SMEAFO) + Nelder-Mead simplex local optimization</t>
  </si>
  <si>
    <t>old/173 - An Unsupervised Microwave Filter Design Optimization Method Based on a Hybrid Surrogate Model-Assisted Evolutionary Algorithm.pdf</t>
  </si>
  <si>
    <t>A Design Methodology of MMIC Power Amplifiers Using AI-driven Design Techniques</t>
  </si>
  <si>
    <t>The authors propose an AI-driven design methodology for MMIC power amplifiers (PA), combining a surrogate-model-assisted global optimization algorithm (Gaussian Process + differential evolution) with a data flow between the optimizer and the simulators.</t>
  </si>
  <si>
    <t>The methodology was validated on a practical 3-stage PA design for 27-31 GHz with 30 variables; the design was successfully synthesized without an initial solution and met the specifications (matching &lt;-11 dB, gain &gt;16 dB, PAE &gt;22%, output power &gt;32 dBm) with good performance consistency across the band.</t>
  </si>
  <si>
    <t>Not stated explicitly in the available text (a conclusion is missing); GP modeling has computational complexity O(N³) with respect to the dataset size N, which the authors address by limiting the training data to the 5d nearest designs.</t>
  </si>
  <si>
    <t>Gaussian Process surrogate model + differential evolution (DE) global optimization</t>
  </si>
  <si>
    <t>old/175 - A Design Methodology of MMIC Power Amplifiers Using AI-driven Design Techniques.pdf</t>
  </si>
  <si>
    <t>Karimov et al.</t>
  </si>
  <si>
    <t>Machine Learning Based Approach to Accurately Model and Optimize Microwave Filters</t>
  </si>
  <si>
    <t>ANN models can accurately model and optimize the S-parameters of four types of microwave filters (LPF, HPF, BPF, BSF) in the 0–10 GHz band.</t>
  </si>
  <si>
    <t>The ANN models achieved R² &gt; 99% for all four filter types (LPF, HPF, BPF, BSF); for example, for BSF the accuracy on test data was R² 99.88–99.91% with MAE on the order of 10⁻³.</t>
  </si>
  <si>
    <t>Not stated explicitly: the model was validated only for four specific filter topologies on an FR4 substrate in the 0–10 GHz band; the authors do not discuss transferability to other substrates/topologies.</t>
  </si>
  <si>
    <t>ANN (MLP) surrogate modeling of S-parameters</t>
  </si>
  <si>
    <t>old/179 - Machine Learning Based Approach to Accurately Model and Optimize Microwave Filters.pdf</t>
  </si>
  <si>
    <t>Machine-Learning-Based Global Optimization of Microwave Passives with Variable-Fidelity EM Models and Response Features</t>
  </si>
  <si>
    <t>The authors present a global optimization technique for microwave passive components combining variable-fidelity EM simulations, the response features method, and a kriging-based ML framework with PSO as the search mechanism.</t>
  </si>
  <si>
    <t>The proposed framework achieves competitive design quality with typically only about sixty high-fidelity EM analyses, compared to nature-inspired algorithms, gradient-based search, and other ML techniques.</t>
  </si>
  <si>
    <t>Not stated explicitly: the available text does not contain a discussion section with limitations; according to the introduction, strongly nonlinear circuit characteristics generally pose a challenge for surrogate-assisted methods.</t>
  </si>
  <si>
    <t>Co-kriging (GPR) surrogate + response features + PSO with variable-fidelity EM modeling</t>
  </si>
  <si>
    <t>old/64 - Machine-learning-based global optimization of microwave passives with variable-fidelity EM models and response features.pdf</t>
  </si>
  <si>
    <t>An Efficient and General Automated Power Amplifier Design Method Based on Surrogate Model Assisted Hybrid Optimization Technique</t>
  </si>
  <si>
    <t>The authors propose E-GASPAD, a method based on a Bayesian neural network (BNN) as a surrogate model combined with a novel hybrid optimization algorithm for fully automated layout-level design of power amplifiers (PA) without the need for a high-quality initial design.</t>
  </si>
  <si>
    <t>The method was demonstrated on a 27-31 GHz class-AB PA and a 24-31 GHz wideband Doherty PA with approx. 30 design variables; high-performance layout-level designs were obtained automatically within a few hundred simulations (less than 72 hours), accounting for full-wave EM simulations.</t>
  </si>
  <si>
    <t>Not stated explicitly in the available text (a detailed discussion of limitations is missing); future work mentions the need to validate E-GASPAD on more PA designs and to develop a software tool.</t>
  </si>
  <si>
    <t>Bayesian Neural Network (BNN) surrogate model + hybrid evolutionary optimization algorithm (E-GASPAD)</t>
  </si>
  <si>
    <t>old/177 - An efficient and general automated power amplifier design method based on surrogate model assisted hybrid optimization technique.pdf</t>
  </si>
  <si>
    <t>Adaptive Homotopy-Based Inverse Model for the Geometry Scaling of Microwave Filters</t>
  </si>
  <si>
    <t>The authors propose an adaptive homotopy continuation method that builds a database of geometric and electrical parameters (including tracking of transmission zeros) to train an inverse model enabling efficient geometry scaling of microwave filters.</t>
  </si>
  <si>
    <t>The method is demonstrated on three classes of filters, including coaxial resonator and dielectric waveguide filters, and performs geometry scaling automatically and more efficiently than existing algorithms; specific numerical speedup/accuracy values are not stated in the extracted text.</t>
  </si>
  <si>
    <t>The authors state that over 90% of the total design time is taken up by high-fidelity EM simulation, which remains a computational bottleneck; the adaptive homotopy step must balance database size and computational cost.</t>
  </si>
  <si>
    <t>Adaptive homotopy continuation (HC) method + database-based inverse model of geometric/electrical parameters</t>
  </si>
  <si>
    <t>old/209 - Adaptive Homotopy-Based Inverse Model for the Geometry Scaling of Microwave Filters.pdf</t>
  </si>
  <si>
    <t>Flexible Inverse Design of Microwave Filter Customized on Demand With Wavelet Transform Deep Learning</t>
  </si>
  <si>
    <t>An HQS-WTDL scheme (high-quality sampling + wavelet transform + deep learning) is proposed for flexible, customized inverse design of microwave filters, combining PSO sampling, MLSMOTE data augmentation, and a neural network with wavelet transform of S-parameters.</t>
  </si>
  <si>
    <t>The HQS-WTDL approach achieves better modeling efficiency and inverse design efficiency than conventional methods and enables rapid customization of parameters (center frequencies, bandwidths) with good prediction accuracy; specific numerical values are not stated in the available excerpt.</t>
  </si>
  <si>
    <t>Not stated explicitly: the available excerpt does not contain a conclusion; the method is demonstrated on only one example (hairpin bandpass filter), and generalization to other filter topologies is not shown in the excerpt.</t>
  </si>
  <si>
    <t>DNN with wavelet transform (WTDL) + PSO sampling + MLSMOTE</t>
  </si>
  <si>
    <t>old/199 - Flexible Inverse Design of Microwave Filter Customized on Demand With Wavelet Transform Deep Learning.pdf</t>
  </si>
  <si>
    <t>Multichannel Wavelet Kernel Network for High Dimensional Inverse Modeling of Microwave Filters</t>
  </si>
  <si>
    <t>The authors propose a multichannel wavelet kernel network (MWKN) with two-phase PSO-based training for high-dimensional inverse modeling of microwave filters, using discrete wavelet transform to extract multiscale features from S-parameters.</t>
  </si>
  <si>
    <t>The model predicts filter geometry meeting specifications in 0.42 s, whereas traditional design using EM simulation requires a total of 8.17 h (0.19 h preliminary design + approximately 7.95 h iterative design refinement); the model also has smaller errors and fewer parameters than compared NN models.</t>
  </si>
  <si>
    <t>The authors state that future work will focus on integrating additional simulation and experimental data to improve generalization, and on resolving the non-uniqueness problem of training samples in high-dimensional inverse modeling.</t>
  </si>
  <si>
    <t>Multichannel Wavelet Kernel Network (CNN + discrete wavelet transform) with two-phase PSO training</t>
  </si>
  <si>
    <t>old/210 - Multichannel Wavelet Kernel Network for High Dimensional Inverse Modeling of Microwave Filters.pdf</t>
  </si>
  <si>
    <t>Globalized parameter tuning of microwave passives by dimensionality-reduced surrogates and multi-fidelity simulations</t>
  </si>
  <si>
    <t>An AI/ML method is proposed for global tuning of microwave passive component parameters, combining dimensionality reduction via global sensitivity analysis, multi-fidelity EM simulation, and a two-stage (global surrogate + local refinement) search.</t>
  </si>
  <si>
    <t>The method was verified on four microstrip circuits; the average optimization cost corresponds to approximately 90 EM simulations, with design quality competitive against benchmark methods.</t>
  </si>
  <si>
    <t>Not stated explicitly: the available excerpt does not contain a conclusion; the method was verified only on four microstrip circuits, and broader applicability to other structure types is not discussed in the excerpt.</t>
  </si>
  <si>
    <t>PSO (surrogate-assisted) + dimensionality reduction (sensitivity analysis) + multi-fidelity EM simulation</t>
  </si>
  <si>
    <t>old/193 - Globalized parameter tuning of microwave passives by dimensionality-reduced surrogates and multi-fidelity simulations.pdf</t>
  </si>
  <si>
    <t>Kiarashinejad et al.</t>
  </si>
  <si>
    <t>Deep learning approach based on dimensionality reduction for designing electromagnetic nanostructures</t>
  </si>
  <si>
    <t>The authors propose a computationally efficient approach based on autoencoder-based dimensionality reduction, which converts the conventional many-to-one design problem of EM nanostructures into a simpler one-to-one problem solvable analytically, applied to reconfigurable optical metasurfaces made of phase-change materials (PCM).</t>
  </si>
  <si>
    <t>The approach reduces the computational complexity of solving both the forward and inverse problems by orders of magnitude compared to conventional methods; experimental results from fabricated devices show good agreement with the method's predictions.</t>
  </si>
  <si>
    <t>Not stated explicitly: the authors do not state specific limitations in the available text; the approach is demonstrated on a specific class of PCM-based reconfigurable metasurfaces and may not directly generalize to other types of nanostructures.</t>
  </si>
  <si>
    <t>F3 - Metasurfaces, FSS and absorbers (non-shielding)</t>
  </si>
  <si>
    <t>Autoencoder for dimensionality reduction + analytical formulation for inverse design of nanostructures</t>
  </si>
  <si>
    <t>old/257 - Deep learning approach based on dimensionality reduction for designing electromagnetic nanostructures.pdf</t>
  </si>
  <si>
    <t>Metasurface inverse design using machine learning approaches</t>
  </si>
  <si>
    <t>The authors propose the AMID method (ML-based inverse metasurface design), combining a convolutional autoencoder and an optimized SVM to directly compute the metasurface structure from given design targets.</t>
  </si>
  <si>
    <t>The AMID method successfully computed metasurface unit cells corresponding to the given EM properties (design targets), thereby validating its functionality and improving design efficiency; specific numerical accuracy metrics are not given in the extracted text.</t>
  </si>
  <si>
    <t>Not stated explicitly: the available text lacks a specific quantification of prediction error or a comparison of computation time with conventional methods.</t>
  </si>
  <si>
    <t>Convolutional autoencoder (CNN-based) + optimized SVM (AMID method)</t>
  </si>
  <si>
    <t>old/170 - Metasurface inverse design using machine learning approaches.pdf</t>
  </si>
  <si>
    <t>Khatib et al.</t>
  </si>
  <si>
    <t>Deep Learning the Electromagnetic Properties of Metamaterials—A Comprehensive Review</t>
  </si>
  <si>
    <t>Comprehensive review of the use of deep neural networks for forward and inverse design of artificial electromagnetic materials (metamaterials, photonic crystals, plasmonics), discussing strategies, evaluation, and limitations of the approaches.</t>
  </si>
  <si>
    <t>The review systematizes advances in DL for replacing/accelerating the conventional CEM simulation cycle in AEM design (both forward and inverse problems); it is a qualitative synthesis of the literature rather than the authors' own quantitative experiment.</t>
  </si>
  <si>
    <t>According to the abstract, the review discusses key limitations of DL approaches for AEM problems (availability/size of training datasets, generalization, interpretability), although no specific figures are given in the available excerpt (abstract/introduction).</t>
  </si>
  <si>
    <t>Review of DNNs (feedforward, tandem, GAN/VAE) for forward and inverse design of AEM</t>
  </si>
  <si>
    <t>old/256 - Deep Learning the Electromagnetic Properties of Metamaterials—A Comprehensive Review.pdf</t>
  </si>
  <si>
    <t>Machine-Learning-Powered EM-Based Framework for Efficient and Reliable Design of Low Scattering Metasurfaces</t>
  </si>
  <si>
    <t>The authors present a three-stage ML-driven framework (global surrogate-assisted optimization, local refinement, direct EM optimization) for automated design of low radar cross-section (RCS) metasurfaces.</t>
  </si>
  <si>
    <t>The framework improved the RCS-reduction bandwidth by 15-25% over the originally published designs and enabled the design of a new metasurface with a relative bandwidth exceeding 100%; the computational cost corresponds to only a few dozen full-surface EM simulations.</t>
  </si>
  <si>
    <t>The framework is limited to structures with a fixed topology (optimization of geometric/material parameters); optimizing the metasurface topology itself is outside the scope of the work.</t>
  </si>
  <si>
    <t>Three-stage surrogate-assisted global + local EM optimization (trust-region gradient algorithm)</t>
  </si>
  <si>
    <t>old/171 - Machine-Learning-Powered EM-Based Framework for Efficient and Reliable Design of Low Scattering Metasurfaces.pdf</t>
  </si>
  <si>
    <t>El-kenawy et al.</t>
  </si>
  <si>
    <t>Optimized Ensemble Algorithm for Predicting Metamaterial Antenna Parameters</t>
  </si>
  <si>
    <t>The authors propose an optimal ensemble ML model (SVM, Random Forest, KNN, Decision Tree as base models) with feature selection via the AD-PRS-Guided Whale Optimization algorithm for predicting the bandwidth and gain of a metamaterial antenna.</t>
  </si>
  <si>
    <t>The Random Forest-based model achieves an RMSE of 0.0102 for bandwidth and an RMSE of 0.0891 for gain, outperforming both the other tested models and the averaged ensemble model.</t>
  </si>
  <si>
    <t>The authors state that the proposed model will be compared with CST software simulations in future work, indicating that direct validation against a full-wave EM simulator is currently lacking.</t>
  </si>
  <si>
    <t>Ensemble (SVM, Random Forest, KNN, Decision Tree) + AD-PRS-Guided Whale Optimization (feature selection)</t>
  </si>
  <si>
    <t>old/131 - Optimized Ensemble Algorithm for Predicting Metamaterial Antenna Parameters.pdf</t>
  </si>
  <si>
    <t>A Wideband Low-RCS Metasurface-Inspired Circularly Polarized Slot Array Based on AI-Driven Antenna Design Optimization Algorithm</t>
  </si>
  <si>
    <t>The authors propose a metasurface-inspired wideband circularly polarized slot array with low RCS, whose feed network is optimized by the AI algorithm PSADEA (surrogate-assisted differential evolution).</t>
  </si>
  <si>
    <t>The achieved bandwidth is 53.2% for |S11|&lt;-10 dB, 50% for AR&lt;3 dB, and 147.8% for the RCS reduction band; more than 5 dB RCS reduction is achieved over the 5-17.5 GHz band (111.1% relative bandwidth); the measured results agree well with the simulations and achieve the widest AR bandwidth among published low-RCS arrays.</t>
  </si>
  <si>
    <t>Not stated explicitly: no specific limitations of the proposed approach are mentioned in the conclusion; the text only states that the built-in CST optimizers failed and that PSADEA was therefore used.</t>
  </si>
  <si>
    <t>PSADEA - surrogate model-assisted (Gaussian process) hybrid differential evolution for antenna optimization</t>
  </si>
  <si>
    <t>old/91 - A Wideband Low-RCS Metasurface-Inspired Circularly Polarized Slot Array Based on AI-Driven Antenna Design Optimization Algorithm.pdf</t>
  </si>
  <si>
    <t>Adepoju et al.</t>
  </si>
  <si>
    <t>Metaheuristic-Based Optimization and Prototype Investigation of Low Frequency Metamaterial for Wireless Power Transfer Application</t>
  </si>
  <si>
    <t>The authors design and experimentally verify a compact low-frequency metamaterial (MTM) structure for wireless power transfer, complemented by a metaheuristic optimization algorithm to lower the resonant frequency at which negative permeability occurs.</t>
  </si>
  <si>
    <t>Metaheuristic optimization reduced the resonant frequency from a simulated 1.2 MHz to 750 kHz; experimental measurements on a fabricated prototype (VNA Keysight ENA5061) show good agreement with the simulations, validating the accuracy of the optimization procedure.</t>
  </si>
  <si>
    <t>In the conclusion, the authors state that achieving lower resonant frequencies (preferably 85 kHz) requires developing more advanced optimization algorithms as future work, suggesting that the achieved 750 kHz does not yet meet the target industrial standard.</t>
  </si>
  <si>
    <t>Metaheuristic optimization (Jaya algorithm) of MTM structure parameters</t>
  </si>
  <si>
    <t>old/267 - Metaheuristic-Based Optimization and Prototype Investigation of Low Frequency Metamaterial for Wireless Power Transfer Application.pdf</t>
  </si>
  <si>
    <t>Physics-Informed Reinforcement Learning for Multi-Band Octagonal Fractal Frequency-Selective Surface Optimization</t>
  </si>
  <si>
    <t>Physics-informed reinforcement learning (PIRL), interacting directly with CST, can autonomously design an octagonal fractal FSS with single- and dual-band response more efficiently than classical PSO.</t>
  </si>
  <si>
    <t>For single-band OF-FSS designs, relative bandwidth errors of 0–6% versus the target were achieved (e.g., 106 MHz vs. a 100 MHz target); for dual-band designs, average errors of 5.8% (1.8 GHz) and 2.4% (3.5 GHz); compared to PSO, PIRL requires an order of magnitude fewer iterations (e.g., 42–169 vs. 430–700 for PSO) at comparable or better accuracy.</t>
  </si>
  <si>
    <t>The work is purely simulation-based (CST); experimental fabrication and measurement of a prototype were not performed due to time constraints.</t>
  </si>
  <si>
    <t>Physics-informed reinforcement learning (PIRL) with direct interaction with CST</t>
  </si>
  <si>
    <t>Physics-Informed Reinforcement Learning for Multi-Band Octagonal Fractal Frequency-Selective Surface Optimization.pdf</t>
  </si>
  <si>
    <t>Machine Learning-Based-Inverse Topological Design Method for Active Frequency-Selective Surface (ITDM-AFSS)</t>
  </si>
  <si>
    <t>The authors propose an ML-based inverse topological design method (ITDM-AFSS) using an MLP-mixer architecture, which maps EM responses in the ON/OFF states of a p-i-n diode directly to the pixelated topology of an active frequency-selective surface (AFSS) with a large number of degrees of freedom.</t>
  </si>
  <si>
    <t>Relative errors between the target and predicted |S11| reach 0.3% (OFF state) and 3.8% (ON state); compared to a binary genetic algorithm (94 GB RAM, over 12 days of computation, errors of 3.2%/8.2%), the proposed method requires only 2.5 h of training, 11.7 GB of GPU memory, and 4.49 GB of RAM.</t>
  </si>
  <si>
    <t>The authors state that minor differences persist between the predicted and reference structure, caused by the inherent nonuniqueness of inverse modeling.</t>
  </si>
  <si>
    <t>MLP-mixer for inverse topological design (tandem/inverse network)</t>
  </si>
  <si>
    <t>Machine_Learning-Based-Inverse_Topological_Design_Method_for_Active_Frequency-Selective_Surface_ITDM-AFSS.pdf</t>
  </si>
  <si>
    <t>A Machine Learning-Based Inverse Design Method With Hybrid Modeling for Multilayer Frequency-Selective Surface (FSS) Design</t>
  </si>
  <si>
    <t>The authors propose an ML-based inverse hybrid design method (IHDM-MLFSS) combining topological and parametric modeling for designing multilayer frequency-selective surfaces (FSS) based on a given |S11| and number of layers.</t>
  </si>
  <si>
    <t>The method achieves a misfit of 0.5% and 0.4% on two test targets and allows designing FSS even outside the frequency range of the training data; the authors state that it outperforms three other commonly used ML models.</t>
  </si>
  <si>
    <t>Not stated explicitly: the text does not specify concrete limitations of the method, except noting that it applies to low-dispersion or dispersion-free materials and structures with up to five layers.</t>
  </si>
  <si>
    <t>Hybrid topological-parametric inverse neural network (IHDM-MLFSS)</t>
  </si>
  <si>
    <t>A_Machine_Learning-Based_Inverse_Design_Method_With_Hybrid_Modeling_for_Multilayer_Frequency-Selective_Surface_FSS_Design.pdf</t>
  </si>
  <si>
    <t>Karamzadeh et al.</t>
  </si>
  <si>
    <t>Machine Learning for Metamaterial Design: Methods, Challenges, and Future Perspectives</t>
  </si>
  <si>
    <t>This review article comprehensively maps ML methodologies for the design of metamaterials and metasurfaces, including forward modeling, inverse design, topology optimization, and control of programmable metasurfaces (RIS), extending to biomedical sensing applications.</t>
  </si>
  <si>
    <t>This is a qualitative review without a single unified numerical result; it summarizes that neural networks, graph models, reinforcement learning, and hybrid optimization-learning frameworks reduce computational cost and enable adaptive real-time reconfiguration of metasurfaces.</t>
  </si>
  <si>
    <t>The authors explicitly identify generalization, interpretability, and integration of ML models with electromagnetic solvers as key challenges.</t>
  </si>
  <si>
    <t>Review: neural networks (forward/inverse modeling), graph models, reinforcement learning (RL), hybrid optimization-learning frameworks for RIS</t>
  </si>
  <si>
    <t>Machine_Learning_for_Metamaterial_Design_Methods_Challenges_and_Future_Perspectives.pdf</t>
  </si>
  <si>
    <t>Robust Forward Surrogates for Free-Form Frequency Selective Surfaces With Uncertainty Quantification by Bayesian Deep Learning</t>
  </si>
  <si>
    <t>A Bayesian deep surrogate model can predict the EM response of freeform FSS (128×128 binary matrices) while simultaneously quantifying prediction uncertainty, enabling reliable forward design even outside the training distribution.</t>
  </si>
  <si>
    <t>Not stated explicitly in the available text (abstract/conclusion without specific numerical accuracy metrics); the framework was experimentally validated by fabricating and measuring two FSS prototypes with different predicted uncertainty and demonstrated robustness on parametric and low-dimensional binary structures, oblique incidence, and two-layer FSS.</t>
  </si>
  <si>
    <t>The authors state that the accuracy of DNN models decreases when the input deviates significantly from the training data distribution, and that DNNs are generally poorly interpretable and unreliable at signaling their own prediction error.</t>
  </si>
  <si>
    <t>Bayesian deep neural network (BNN) with uncertainty quantification</t>
  </si>
  <si>
    <t>Robust_Forward_Surrogates_for_Free-Form_Frequency_Selective_Surfaces_With_Uncertainty_Quantification_by_Bayesian_Deep_Learning.pdf</t>
  </si>
  <si>
    <t>Rana et al.</t>
  </si>
  <si>
    <t>Machine learning-based methods for frequency selective surfaces and metasurfaces</t>
  </si>
  <si>
    <t>This review article comprehensively summarizes ML methods for inverse design of frequency-selective surfaces (FSS) and metasurfaces, including VAE, GAN, DCGAN, transfer learning for phase prediction, and hybrid AI-optimization frameworks (PSO, GA).</t>
  </si>
  <si>
    <t>This is a qualitative review without a single unified numerical result; the authors state that the described ML algorithms shorten the simulation time for FSS/metasurface design and enable the generation of unconventional structures with improved properties.</t>
  </si>
  <si>
    <t>Not stated explicitly: in the available excerpt (introduction and reference list), no specific limitations of the review are given.</t>
  </si>
  <si>
    <t>Review: VAE, GAN, DCGAN, transfer learning, VGFE-DNN, hybrid PSO/GA-AI frameworks</t>
  </si>
  <si>
    <t>Machine learning-based methods for frequency selective surfaces and metasurfaces.pdf</t>
  </si>
  <si>
    <t>Haggenmiller et al.</t>
  </si>
  <si>
    <t>Non-parametric Error Modeling for Ultra-wideband Localization Networks</t>
  </si>
  <si>
    <t>Explicit modeling of antenna delay together with nonparametric estimation of the error probability density enables accurate and fast UWB network localization even under non-line-of-sight (NLOS) conditions.</t>
  </si>
  <si>
    <t>A network of 8 UWB nodes (DecaWave DWM1000) achieved 3 cm RMSE accuracy under LOS conditions and 30 cm RMSE under NLOS conditions; explicit modeling of antenna delay reduced the RMSE from 6.2 cm to 3.0 cm in the best-conditioned LOS scenario; the entire localization process (up to 128 measurements/link) took under one minute.</t>
  </si>
  <si>
    <t>The authors state that under high NLOS uncertainty the 8-node system is only marginally fully determined (28 equations, 24 unknowns), so under strongly NLOS conditions the antenna delay cannot be refined beyond its prior value.</t>
  </si>
  <si>
    <t>F4 - Wave propagation, channels and communications</t>
  </si>
  <si>
    <t>Nonparametric estimation of the error probability density + MAP optimization (gradient-less)</t>
  </si>
  <si>
    <t>old/111 - Non-parametric Error Modeling for Ultra-wideband Localization Networks.pdf</t>
  </si>
  <si>
    <t>Nguyen et al.</t>
  </si>
  <si>
    <t>Metaheuristic Optimization Techniques for an Electromagnetic Multilayer Radome Design</t>
  </si>
  <si>
    <t>The authors propose a method for designing a multilayer electromagnetic radome (C-sandwich) using Ant Colony Optimization for continuous domains (ACOR), maximizing and stabilizing the transmission coefficient over a wide range of incidence angles in the X and Ku bands, and compare it with PSO.</t>
  </si>
  <si>
    <t>ACOR converges faster than PSO (in the X band, 56.69 s/11 iterations versus 70.18 s/24 iterations; in the Ku band, 64.13 s/12 iterations versus 71.86 s/24 iterations for PSO), with both methods finding practically the same optimal design, and the optimized radome exhibits significantly more stable transmitted power over a wide range of incidence angles than an equivalent homogeneous radome.</t>
  </si>
  <si>
    <t>Not stated explicitly: the authors do not mention limitations; the design is limited to a specific five-layer C-sandwich configuration and specific frequency bands (X, Ku), and generalization to other configurations was not verified.</t>
  </si>
  <si>
    <t>Ant Colony Optimization for continuous domains (ACOR) compared with PSO</t>
  </si>
  <si>
    <t>old/266 - Metaheuristic Optimization Techniques for an Electromagnetic Multilayer Radome Design.pdf</t>
  </si>
  <si>
    <t>Xiao et al.</t>
  </si>
  <si>
    <t>AI-based Satellite Ground Communication System with Intelligent Antenna Pointing</t>
  </si>
  <si>
    <t>Combining a predictive GRU model (FI-GRU) with improved deep reinforcement learning (II-DRL) enables more efficient and faster automatic pointing and tracking of a ground-station satellite antenna than the traditional Auto-Acquire algorithm.</t>
  </si>
  <si>
    <t>In experiments, the azimuth fine-tuning time using FI-GRU and II-DRL was not significantly shortened compared to the traditional AA algorithm, but the elevation and polarization fine-tuning times with II-DRL were significantly reduced compared to both AA and FI-GRU (specific percentage values are not given in the text; the comparison is graphical).</t>
  </si>
  <si>
    <t>Not stated explicitly: the work is validated only on a simulation test platform; the authors do not discuss specific limitations of the method in the conclusion.</t>
  </si>
  <si>
    <t>FI-GRU (RNN prediction) + II-DRL (Q-learning/DRL) for antenna pointing control</t>
  </si>
  <si>
    <t>old/103 - AI-based Satellite Ground Communication System with Intelligent Antenna Pointing.pdf</t>
  </si>
  <si>
    <t>Komeylian</t>
  </si>
  <si>
    <t>Optimization Modeling of the Hybrid Antenna Array for the DoA Estimation</t>
  </si>
  <si>
    <t>The author compares two optimization methods for direction-of-arrival (DoA) estimation with a hybrid (cylindrical) antenna array — LS-SVM DDAG and DNN-RBF — and argues that the DNN-RBF model overcomes the limitations of conventional (non-data-driven) methods in terms of accuracy and robustness to array imperfections.</t>
  </si>
  <si>
    <t>The DNN-RBF model (5 hidden layers, 49 neurons) achieves approximately three orders of magnitude (10^3×) lower MSE — i.e., higher accuracy and robustness — for DoA estimation than the LS-SVM DDAG model; tested at a frequency of 10 GHz.</t>
  </si>
  <si>
    <t>Not stated explicitly: the authors merely note that the accuracy and robustness of DoA estimation generally remain sensitive to technological imperfections of the antenna array (calibration, mutual coupling, background radiation).</t>
  </si>
  <si>
    <t>DNN-RBF vs. LS-SVM DDAG classification for DoA estimation</t>
  </si>
  <si>
    <t>old/114 - Optimization Modeling of the Hybrid Antenna Array for the DoA Estimation.pdf</t>
  </si>
  <si>
    <t>Wei et al.</t>
  </si>
  <si>
    <t>Adaptive modem and interference suppression based on deep learning</t>
  </si>
  <si>
    <t>The authors propose an adaptive modem based on a deep autoencoder (DAN), supplemented with a single-convolutional-layer CNN for suppressing various types of interference using transfer learning, with the aim of replacing traditional MPSK/QAM modems and improving interference resilience.</t>
  </si>
  <si>
    <t>The DAN achieves demodulation performance close to, comparable with, or better than traditional MPSK/QAM modulation across modulation orders up to 128-ary; the added CNN module, owing to transfer learning, converges quickly (within a few epochs) and effectively suppresses interference in both the frequency and power domains.</t>
  </si>
  <si>
    <t>Not stated explicitly: the authors do not directly mention limitations; they propose learning coding/modulation in a hybrid mode and receiver-side synchronization as future work, suggesting that these aspects were not addressed in this work.</t>
  </si>
  <si>
    <t>Deep autoencoder (DAN) + CNN with transfer learning for interference suppression</t>
  </si>
  <si>
    <t>old/30 - Adaptive modem and interference suppression based on deep learning.pdf</t>
  </si>
  <si>
    <t>Artificial Intelligence Enabled Radio Propagation for Communications—Part I: Channel Characterization and Antenna-Channel Optimization</t>
  </si>
  <si>
    <t>The first part of a two-part review provides a comprehensive overview of machine learning methods for propagation channel characterization and antenna-channel optimization (e.g., beam selection) in 5G/B5G/6G networks.</t>
  </si>
  <si>
    <t>Not stated explicitly: this is a literature review without the authors' own experiments; the work compares and analyzes a wide range of ML methods used in the cited studies.</t>
  </si>
  <si>
    <t>Not stated explicitly: as a review work, it discusses general challenges and future research directions of ML-enabled networks rather than specific limitations of its own method.</t>
  </si>
  <si>
    <t>Review of ML methods (NN, deep learning) for channel characterization and antenna-channel optimization</t>
  </si>
  <si>
    <t>old/95 - Artificial Intelligence Enabled Radio Propagation for Communications—Part I Channel Characterization and Antenna-Channel Optimization.pdf</t>
  </si>
  <si>
    <t>Artificial Intelligence Enabled Radio Propagation for Communications—Part II: Scenario Identification and Channel Modeling</t>
  </si>
  <si>
    <t>The second part of the review focuses on ML methods for propagation scenario identification (LoS/NLoS, environment type) and channel modeling/prediction in the time, spatial, and frequency domains.</t>
  </si>
  <si>
    <t>Not stated explicitly: this is a literature review without the authors' own experiments; it summarizes the results of the cited ML approaches to scenario identification and channel prediction.</t>
  </si>
  <si>
    <t>Not stated explicitly: as a review work, it focuses on discussing future challenges of AI/ML processing of channel data rather than the limitations of a specific method of its own.</t>
  </si>
  <si>
    <t>Review of ML methods (RNN/LSTM, classification, clustering) for scenario identification and channel modeling</t>
  </si>
  <si>
    <t>old/96 - Artificial Intelligence Enabled Radio Propagation for Communications—Part II Scenario Identification and Channel Modeling.pdf</t>
  </si>
  <si>
    <t>A review on machine learning and deep learning for various antenna design applications</t>
  </si>
  <si>
    <t>A review article summarizes the use of machine and deep learning across communication applications of antennas — millimeter-wave, body-centric communication, the terahertz band, and satellite, UAV, GPS, and textile antennas.</t>
  </si>
  <si>
    <t>No original quantitative results; it summarizes the results of many cited works (e.g., RL for spatial beam selection in mmWave beamforming, DNN models for channel prediction, NN-DLL for multipath reduction in GPS).</t>
  </si>
  <si>
    <t>Not stated explicitly: the text does not specify its own limitations, only summarizing the individual cited studies.</t>
  </si>
  <si>
    <t>Review of RL, DNN, and CNN techniques for communication and localization applications of antennas (beamforming, channel models, etc.)</t>
  </si>
  <si>
    <t>old/135 - A review on machine learning and deep learning for various antenna design applications.pdf</t>
  </si>
  <si>
    <t>Naseri et al.</t>
  </si>
  <si>
    <t>Machine Learning-Based Angle of Arrival Estimation for Ultra-Wide Band Radios</t>
  </si>
  <si>
    <t>The authors propose a deep convolutional neural network (DCNN) for accurate angle-of-arrival (AoA) estimation in ultra-wideband (UWB) radio systems, robust to hardware imperfections, compared with the traditional MUSIC and PDoA methods.</t>
  </si>
  <si>
    <t>The proposed method achieves a 99th-percentile AoA error of 2.8° compared to 180° for MUSIC and 84.5° for PDoA, i.e., an error reduction of up to 80° relative to traditional methods, with only a 10% increase in computational complexity relative to MUSIC; at N_CIR=5, it achieves 99th-percentile errors of ≤2.2°/2.8°/2.2° in clean, noisy, and multipath environments, respectively.</t>
  </si>
  <si>
    <t>The authors state that the proposed method requires more training samples compared to the calibration samples needed for rule-based methods, and currently works only in a trained ("seen") environment - generalization to unseen environments is left as future work.</t>
  </si>
  <si>
    <t>Deep convolutional neural network (DCNN)</t>
  </si>
  <si>
    <t>old/228 - Machine Learning-Based Angle of Arrival Estimation for Ultra-Wide Band Radios.pdf</t>
  </si>
  <si>
    <t>Saeed et al.</t>
  </si>
  <si>
    <t>AI-driven lightweight real-time SDR sensing system for anomalous respiration identification using ensemble learning</t>
  </si>
  <si>
    <t>The authors propose a lightweight real-time system for identifying abnormal breathing based on contactless RF sensing using an SDR (USRP) and an extra-trees (ERT) ensemble classifier, supplemented by simulated data from curve fitting to expand the training dataset.</t>
  </si>
  <si>
    <t>ERT achieved accuracy and F1-score of approximately 99% in classifying 8 breathing types, with a training time of only 0.71 s, significantly faster than a decision tree (82.25 s, ~98%) and a multilayer perceptron (163.94 s, ~99%).</t>
  </si>
  <si>
    <t>The authors explicitly state that the data were collected only from five healthy volunteers simulating breathing patterns in a static position, because ethical approval for measurements on patients with an actual respiratory disorder was still under review at the time of the study.</t>
  </si>
  <si>
    <t>Extra-trees (Extremely Randomized Trees, ERT) - ensemble classifier</t>
  </si>
  <si>
    <t>old/230 - AI-driven lightweight real-time SDR sensing system for anomalous respiration identification using ensemble learning.pdf</t>
  </si>
  <si>
    <t>Whiton et al.</t>
  </si>
  <si>
    <t>Urban Navigation with LTE using a Large Antenna Array and Machine Learning</t>
  </si>
  <si>
    <t>The authors demonstrate that channel fingerprinting with a large antenna array and CNN/kNN estimators in an azimuthal-delay representation of downlink LTE signals enables vehicle navigation in dense urban environments without line-of-sight to the transmitter, with meter-level accuracy.</t>
  </si>
  <si>
    <t>The CNN estimator achieved a mean error of 6.2 m (5.7 m after Kalman filtering, max. error 35.9/12.1 m), the kNN estimator 10.4 m (7.2 m after filtering, max. 108.8/25.9 m); this represents an improvement over earlier works with median errors of 75 m and 19 m, respectively.</t>
  </si>
  <si>
    <t>The estimates require knowledge of the user equipment (UE) orientation and clock synchronization with the transmitter; the measurements were limited by vehicle speed (max. 1.5 m/s) due to the channel coherence time, and the system was tested only on a single city block in Lund, which limits the generality of the results.</t>
  </si>
  <si>
    <t>Convolutional neural network (CNN) and k-Nearest Neighbors (kNN) for channel fingerprinting, supplemented with a Kalman filter</t>
  </si>
  <si>
    <t>old/154 - Urban Navigation with LTE using a Large Antenna Array and Machine Learning.pdf</t>
  </si>
  <si>
    <t>Siddiqui et al.</t>
  </si>
  <si>
    <t>A Study on Multi-Antenna and Pertinent Technologies with AI/ML Approaches for B5G/6G Networks</t>
  </si>
  <si>
    <t>This review article analyzes the challenges of deploying massive MIMO (mMIMO) systems in heterogeneous B5G/6G networks and maps their mitigation using AI/ML approaches (machine learning, distributed and federated learning, deep learning).</t>
  </si>
  <si>
    <t>Not stated explicitly: this is a review study without the authors' own experimental results; the work only systematizes and summarizes findings from the cited literature.</t>
  </si>
  <si>
    <t>Not stated explicitly: the breadth of scope (mMIMO, RIS, federated learning, etc.) implies less technical depth for individual AI/ML techniques; the high computational demands and latency of mMIMO systems are mentioned as open problems.</t>
  </si>
  <si>
    <t>Review of ML/DL/distributed and federated learning for mMIMO precoding, antenna selection, and network management</t>
  </si>
  <si>
    <t>old/94 - A Study on Multi-Antenna and Pertinent Technologies with AIML Approaches for B5G6G Networks.pdf</t>
  </si>
  <si>
    <t>Extracting weak electromagnetic signals based on RMPSO-SPBSR in virtual anechoic chamber</t>
  </si>
  <si>
    <t>The authors propose an adaptive symmetric piecewise bistable stochastic resonance (SPBSR) system, whose optimal structural parameters are determined by a regional multi-role strategy combined with particle swarm optimization (RMPSO), for extracting weak electromagnetic signals in a virtual anechoic chamber.</t>
  </si>
  <si>
    <t>The proposed system achieves a correlation coefficient above 0.75 across a noise intensity range of 0-10 dB, effectively suppresses noise interference, and improves both the similarity and smoothness of the detected signal; specific numerical SNR improvement values are not stated in the extracted text.</t>
  </si>
  <si>
    <t>The authors state that at higher noise intensity (above 10 dB) system performance degrades, and although reliability was verified on SSB signals, further experimental verification is needed for various modulation formats given the wide range of electromagnetic signals.</t>
  </si>
  <si>
    <t>Regional Multi-role Particle Swarm Optimization (RMPSO) + Symmetric Piecewise Bistable Stochastic Resonance (SPBSR)</t>
  </si>
  <si>
    <t>old/226 - Extracting weak electromagnetic signals based on RMPSO-SPBSR in virtual anechoic chamber.pdf</t>
  </si>
  <si>
    <t>Yuan et al.</t>
  </si>
  <si>
    <t>Intelligent Reception of Frequency Hopping Signals Based on CVDP</t>
  </si>
  <si>
    <t>The authors propose the CVDP network (CNN + Vision Transformer with dual multi-head Probsparse self-attention) for intelligent reception of signals with an unknown frequency-hopping sequence, in which the CNN extracts time-frequency features from spectrograms and the ViT module processes them with lower computational cost thanks to Probsparse attention.</t>
  </si>
  <si>
    <t>Simulations show that the CVDP-based receiver achieves hopping frequency estimation and bit error rate (BER) close to a conventional receiver that knows the sequence in advance, even under various interference and fading channel conditions; specific BER values are not given in the available text excerpt.</t>
  </si>
  <si>
    <t>In the introduction/conclusion, the authors implicitly assume that the hopping period and signal bandwidth are known and only the frequency sequence itself is estimated, which limits general applicability to scenarios with completely unknown hopping parameters.</t>
  </si>
  <si>
    <t>CNN + Vision Transformer (dual multi-head Probsparse self-attention) - CVDP network</t>
  </si>
  <si>
    <t>old/33 - Intelligent Reception of Frequency Hopping Signals Based on CVDP.pdf</t>
  </si>
  <si>
    <t>Al-Saegh et al.</t>
  </si>
  <si>
    <t>AI-Based Investigation and Mitigation of Rain Effect on Channel Performance With Aid of a Novel 3D Slot Array Antenna Design for High Throughput Satellite System</t>
  </si>
  <si>
    <t>A model combining three ITU-R-based predictive algorithms with real measured precipitation data can characterize and mitigate the impact of rain on a satellite link channel in the UAE, supplemented by the design of a 3D slot antenna array with frequency diversity for fade mitigation.</t>
  </si>
  <si>
    <t>The rain-induced attenuation database for the UAE (10 years of data, 18–40 GHz) shows attenuation of up to 24 dB at 20 GHz (0.01% of the year, 33 mm/h rain rate) and up to 50 dB at 30 GHz in the rainiest year; SER reaches 0.9 for 64-QAM under extreme rain, versus 0.1 for 8-PSK; the proposed 3D antenna maintains a gain of ~22 dBi across the 12–40 GHz band for frequency diversity.</t>
  </si>
  <si>
    <t>The authors recommend extending the analysis to additional modulation schemes and other geographic regions, and supplementing it with experimental measurements of satellite signal attenuation during rain for more robust validation.</t>
  </si>
  <si>
    <t>Empirical/analytical predictive algorithms (ITU-R model) presented as an AI system</t>
  </si>
  <si>
    <t>old/106 - AI-Based Investigation and Mitigation of Rain Effect on Channel Performance With Aid of a Novel 3D Slot Array Antenna Design for High Throughput Satellite System.pdf</t>
  </si>
  <si>
    <t>Bakirtzis et al.</t>
  </si>
  <si>
    <t>AI-Assisted Indoor Wireless Network Planning With Data-Driven Propagation Models</t>
  </si>
  <si>
    <t>The authors couple a fast data-driven wave propagation model (EM DeepRay) with an AI optimizer for automated planning of a dense indoor wireless network (UDN) according to a chosen KPI.</t>
  </si>
  <si>
    <t>Optimization with the data-driven model finds the optimal small-cell placement in about 3 minutes versus more than 6 hours for ray tracing, i.e., a speedup of more than two orders of magnitude (two to three orders of magnitude overall).</t>
  </si>
  <si>
    <t>The approach is limited to predicting signal quantities (path loss); modeling other channel characteristics (angle of arrival, delay) still has limited scalability, as the authors note in the discussion of future directions.</t>
  </si>
  <si>
    <t>Data-driven propagation surrogate (EM DeepRay) + AI optimizers (Bayesian optimization, population-based metaheuristics)</t>
  </si>
  <si>
    <t>old/41 - AI-Assisted Indoor Wireless Network Planning With Data-Driven Propagation Models.pdf</t>
  </si>
  <si>
    <t>Sirigiri et al.</t>
  </si>
  <si>
    <t>Revolutionizing Ground Surveillance: Advances in Microwave Radar Technology With AI, MIMO, and Edge Computing</t>
  </si>
  <si>
    <t>The development and deployment of a next-generation ground surveillance radar is described, integrating microwave radar technology with AI-driven threat classification, MIMO, digital beamforming, and edge computing.</t>
  </si>
  <si>
    <t>A magazine/overview article without its own quantitative experiments; it describes the integration of MIMO, digital beamforming, and AI/edge computing into compact autonomous GSR systems.</t>
  </si>
  <si>
    <t>The authors mention as an open challenge the harmonization of radar regulations across countries, which complicates global deployment of GSR systems; this is an overview/magazine article without its own quantitative experiments.</t>
  </si>
  <si>
    <t>AI target classification (general, overview/magazine article)</t>
  </si>
  <si>
    <t>old/196 - Revolutionizing Ground Surveillance Advances in Microwave Radar Technology With AI, MIMO, and Edge Computing.pdf</t>
  </si>
  <si>
    <t>Karaosmanoğlu et al.</t>
  </si>
  <si>
    <t>Visual Result Prediction in Electromagnetic Simulations Using Machine Learning</t>
  </si>
  <si>
    <t>The authors propose convolutional neural networks (CNN) that predict the image of the converged (accurate) solution of a scattering problem from images of surface currents obtained in early iterations of a MoM/MLFMA solver.</t>
  </si>
  <si>
    <t>Relative tensor error norms between low- and high-resolution-error (LRE/HRE) images of 16.4-20.9% (NASA Almond) and 34.7-50.5% (Flamme), respectively, decreased after CNN prediction to 7.1-9.8% and 18.0-29.5%, respectively; a complete full-wave simulation of the Flamme geometry takes 7.6 h (100 iterations), while the HRE input for the CNN can be obtained in 18 min (4 iterations).</t>
  </si>
  <si>
    <t>The authors explicitly state that the CNN model does not guarantee an accurate estimate at all locations of the current distribution and is prone to errors especially at sharp edges and corners, and that improving accuracy requires larger (computationally more expensive) training datasets.</t>
  </si>
  <si>
    <t>F5 - Computational electromagnetics and EM modeling</t>
  </si>
  <si>
    <t>CNN (convolutional neural network with residual blocks) for predicting surface currents from MoM/MLFMA</t>
  </si>
  <si>
    <t>old/262 - Visual Result Prediction in Electromagnetic Simulations Using Machine Learning.pdf</t>
  </si>
  <si>
    <t>Elkattan et al.</t>
  </si>
  <si>
    <t>Characterization of electromagnetic parameters through inversion using metaheuristic technique</t>
  </si>
  <si>
    <t>The authors present a methodology for inverting electromagnetic parameters (electrical conductivity and permittivity of a vertically layered medium) based on simulated annealing, treating the scattered field as a global optimization problem, and study the effect of the Gibbs phenomenon on inversion accuracy.</t>
  </si>
  <si>
    <t>The exponential cooling schedule achieves an error bound not exceeding 30% in the worst case across 10 tested two-layer models; after introducing Gibbs oscillation reduction, the error bound dropped below 25%, and accuracy improved relative to the original approach for 76% of the estimated parameters.</t>
  </si>
  <si>
    <t>The authors explicitly simplify the problem by assuming that the thickness of each layer is known in advance (only permittivity and conductivity are estimated), and note the non-unique nature of such inverse problems.</t>
  </si>
  <si>
    <t>Simulated annealing with exponential/fast/Boltzmann cooling schedule</t>
  </si>
  <si>
    <t>old/264 - Characterization of electromagnetic parameters through inversion using metaheuristic technique.pdf</t>
  </si>
  <si>
    <t>ANNs for Fast Parameterized EM Modeling: The State of the Art in Machine Learning for Design Automation of Passive Microwave Structures</t>
  </si>
  <si>
    <t>This review article describes the state of the art in the application of artificial neural networks (ANN), particularly neuro-transfer function (neuro-TF) modeling, for fast parametrized EM modeling and automation of passive microwave structure design.</t>
  </si>
  <si>
    <t>The article summarizes a range of ANN architectures (MLP, RBF, KBNN, neuro-TF, DNN) applied to filters, amplifiers, transistors, oscillators, and other microwave components; it is a review without its own new quantitative experimental results.</t>
  </si>
  <si>
    <t>Not stated explicitly: as a review article it has no experimental limitations of its own, only a general mention of the cost of training data for complex, high-dimensional structures.</t>
  </si>
  <si>
    <t>ANN/MLP/RBF networks and neuro-transfer function (neuro-TF) modeling</t>
  </si>
  <si>
    <t>old/169 - ANNs for Fast Parameterized EM Modeling The State of the Art in Machine Learning for Design Automation of Passive Microwave Structures.pdf</t>
  </si>
  <si>
    <t>Sagar et al.</t>
  </si>
  <si>
    <t>Application of Machine Learning in Electromagnetics: Mini-Review</t>
  </si>
  <si>
    <t>This review article provides a comprehensive overview of machine learning applications in electromagnetics, particularly in antenna design, synthesis and analysis, electromagnetic inverse scattering, SAR target recognition, and fault detection.</t>
  </si>
  <si>
    <t>This is a review without its own experimental results; it summarizes progress in ML for antenna design, synthesis, electromagnetic inverse scattering, SAR target detection, and fault detection in antenna arrays.</t>
  </si>
  <si>
    <t>The authors explicitly devote a separate section to limitations (Section 4): the accuracy of ML algorithms depends on the availability of sufficient data and expert configuration of the model and hyperparameters.</t>
  </si>
  <si>
    <t>Review of ANN/DNN and CNN for antenna design, electromagnetic inverse scattering, and SAR target recognition</t>
  </si>
  <si>
    <t>old/155 - Application of Machine Learning in Electromagnetics Mini-Review.pdf</t>
  </si>
  <si>
    <t>A Maxwell's Equations Based Deep Learning Method for Time Domain Electromagnetic Simulations</t>
  </si>
  <si>
    <t>The authors propose an unsupervised physics-informed neural network (PINN) that encodes the initial/boundary conditions and Maxwell's equations into the loss function, thereby solving time-domain electromagnetic simulation without spatial/temporal discretization.</t>
  </si>
  <si>
    <t>The method achieves accuracy comparable to FDTD (relative errors of the Ez, Hx, Hy fields on the order of 1.2-3.0×10⁻² for 2D scattering and multiscale problems) with a computation time of 0.65 s versus approximately 35 min for FDTD on the 2D scattering problem, i.e., a speedup of three to four orders of magnitude for multiscale simulations.</t>
  </si>
  <si>
    <t>Not stated explicitly: the authors do not directly mention limitations, but propose extension to the frequency domain and solving inverse problems as future work, suggesting that the current method is limited to time-domain forward simulations with a relatively small network (5 layers, 50 neurons).</t>
  </si>
  <si>
    <t>Physics-informed neural network (PINN) for time-domain Maxwell's equations</t>
  </si>
  <si>
    <t>old/260 - A Maxwell's Equations Based Deep Learning Method for Time Domain Electromagnetic Simulations.pdf</t>
  </si>
  <si>
    <t>Electromagnetic Modeling Using an FDTD-Equivalent Recurrent Convolution Neural Network</t>
  </si>
  <si>
    <t>The authors propose a recurrent convolutional neural network (RCNN) whose weights are analytically derived from the FDTD formulation, so that the network, without training, rigorously reproduces the FDTD computation on deep learning platforms.</t>
  </si>
  <si>
    <t>RCNN-FDTD on GPU is 5.7 times faster than parallel FDTD on CPU; on CPU, RCNN-FDTD is conversely 1.9 times slower due to separate convolution computation for the E and H fields; accuracy matches conventional FDTD.</t>
  </si>
  <si>
    <t>The authors state that a comparison with optimized GPU-FDTD was not performed due to the lack of a well-optimized GPU implementation of FDTD; this remains for future research.</t>
  </si>
  <si>
    <t>RCNN (CNN+RNN) analytically equivalent to FDTD, without training</t>
  </si>
  <si>
    <t>old/59 - Electromagnetic Modeling Using an FDTD-Equivalent Recurrent Convolution Neural Network.pdf</t>
  </si>
  <si>
    <t>Zhai et al.</t>
  </si>
  <si>
    <t>An End-to-End Neural Network for Complex Electromagnetic Simulations</t>
  </si>
  <si>
    <t>The authors propose an end-to-end network combining a CNN (extraction of scatterer features) and an LSTM (prediction of the EM field distribution) with PCA dimensionality reduction, for a fast replacement of FDTD simulations in complex multi-scatterer scenarios.</t>
  </si>
  <si>
    <t>The average relative squared error reaches about 8.05×10⁻⁵ for scenarios with a fixed number of scatterers and 2.25×10⁻⁴ for a random number of scatterers, with a computation speedup of about 1528x compared to FDTD.</t>
  </si>
  <si>
    <t>Not stated explicitly: the authors do not directly state limitations; the experimental section implies a restriction to 2D scenarios with simple geometric scatterer shapes (rectangle, circle, triangle) and a limited permittivity range, and generalization to 3D or more complex scenes was not verified.</t>
  </si>
  <si>
    <t>CNN + LSTM (end-to-end) with PCA dimensionality reduction, replacing FDTD</t>
  </si>
  <si>
    <t>old/273 - An End-to-End Neural Network for Complex Electromagnetic Simulations.pdf</t>
  </si>
  <si>
    <t>Zhou et al.</t>
  </si>
  <si>
    <t>A High-Quality Data Acquisition Method for Machine-Learning-Based Design and Analysis of Electromagnetic Structures</t>
  </si>
  <si>
    <t>The authors propose a high-quality data acquisition method for ML applications in EM structure design (antennas, metasurfaces, and other microwave structures), which iteratively analyzes the distribution of existing data and generates more informative samples instead of blind uniform sampling.</t>
  </si>
  <si>
    <t>A comparative analysis of four implementations showed that the proposed method reduces the required amount of training data by approximately 40% while maintaining the same model performance, thereby saving approximately 40% of simulation and computational resources.</t>
  </si>
  <si>
    <t>Not stated explicitly: the article's conclusion is not included in the extracted text; the context suggests that the method still depends on iterative data generation using a full-wave EM simulator, which remains computationally expensive.</t>
  </si>
  <si>
    <t>Iterative adaptive data acquisition (active learning) based on analysis of the distribution of existing samples</t>
  </si>
  <si>
    <t>old/224 - A High-Quality Data Acquisition Method for Machine-Learning-Based Design and Analysis of Electromagnetic Structures.pdf</t>
  </si>
  <si>
    <t>Gamage et al.</t>
  </si>
  <si>
    <t>Application of Artificial Intelligence Techniques on Computational Electromagnetics for Power System Apparatus: An Overview</t>
  </si>
  <si>
    <t>A review article maps AI applications (ML, deep learning, optimization algorithms) within computational electromagnetics (FDTD, FEM, TLM, MoM, PEEC) for modeling and diagnostics of power system equipment (transformers, electrical machines).</t>
  </si>
  <si>
    <t>The article provides a comprehensive assessment of AI-based CEM techniques on case studies of electrical machine modeling, condition diagnostics, and design optimization, highlighting their advantages (reduced computational cost, faster convergence, handling of large-scale tasks); these are not quantitative results of the authors' own experiment.</t>
  </si>
  <si>
    <t>The authors explicitly state the limitations of adopting AI in CEM: training data requirements, model interpretability, and generalization capability.</t>
  </si>
  <si>
    <t>Review of ANN/DNN and other ML/optimization techniques in CEM (FDTD/FEM/MoM/PEEC)</t>
  </si>
  <si>
    <t>old/232 - Application of Artificial Intelligence Techniques on Computational Electromagnetics for Power System Apparatus An Overview.pdf</t>
  </si>
  <si>
    <t>Mohan et al.</t>
  </si>
  <si>
    <t>Estimating Effects of Residual Physics with Machine Learning for Earbud Performance Prediction</t>
  </si>
  <si>
    <t>The authors propose a multi-fidelity ML method combining experimental data with FEA simulations (Ansys Maxwell + Mechanical) for predicting the sound pressure level (SPL) of a voice-coil speaker in wireless earbuds, accounting for uncertainties in material and physical parameters (residual physics).</t>
  </si>
  <si>
    <t>The fusion model, using only 8 of 20 measured points (60% reduction in experiments), achieved high agreement with measurement (R² = 0.989); when reduced to 6 points (70% reduction) with the key point at 7 kHz, R² remained at 0.915; without this point, R² dropped to negative values, but the qualitative trend was preserved.</t>
  </si>
  <si>
    <t>The authors state that experimental SPL measurements contain unquantified artifacts (inaccurate material properties, damping constants, mesh impedance at the aperture), and that with very sparse training data (6 of 20 points), R² can take negative values, although the qualitative shape of the curve remains correct.</t>
  </si>
  <si>
    <t>Multi-fidelity fusion model (combination of simulation and experimental data) + k-medoids clustering for training point selection</t>
  </si>
  <si>
    <t>old/216 - Estimating Effects of Residual Physics with Machine Learning for Earbud Performance Prediction.pdf</t>
  </si>
  <si>
    <t>Abdelraouf et al.</t>
  </si>
  <si>
    <t>Physics-Informed Neural Networks in Electromagnetic and Nanophotonic Design</t>
  </si>
  <si>
    <t>Physics-informed neural networks (PINN) integrating physical laws represent a transformative tool for both forward and inverse design of electromagnetic and nanophotonic structures across multiple domains.</t>
  </si>
  <si>
    <t>This is a review article without its own experimental results; it summarizes advances in PINN/DNN for forward and inverse design of antennas, FSS, metasurfaces, and nanophotonic structures and their contribution to accelerating EM simulations.</t>
  </si>
  <si>
    <t>The authors identify limited interpretability of AI models and lack of data for unconventional optical modes as key challenges for the field.</t>
  </si>
  <si>
    <t>PINN and DNN (review across EM/nanophotonics)</t>
  </si>
  <si>
    <t>Physics-Informed Neural Networks in Electromagnetic and Nanophotonic Design.pdf</t>
  </si>
  <si>
    <t>A Review of Data-Driven Models for Electromagnetic Devices Design and Analysis</t>
  </si>
  <si>
    <t>This review article summarizes statistical (RSM) and machine-learned/deep-learned (DL) data-driven models for the design and optimization of electromagnetic devices (motors, transformers, conductors) as a replacement/supplement for finite element analysis (FEA).</t>
  </si>
  <si>
    <t>This is a qualitative review without a single unified numerical result; it summarizes how DL models accelerate the prediction of parameters (e.g., magnetic flux, torque, losses) and the optimization of EM devices compared to FEA.</t>
  </si>
  <si>
    <t>Not stated explicitly: the authors only propose future directions for increasing the efficiency and extending the universality of data-driven models, without specifically stating the limitations of the current state of the art.</t>
  </si>
  <si>
    <t>Review of DL/DNN models and classical ML (RSM, regression) for prediction and optimization of electromagnetic devices</t>
  </si>
  <si>
    <t>A_Review_of_Data-Driven_Models_for_Electromagnetic_Devices_Design_and_Analysis.pdf</t>
  </si>
  <si>
    <t>Owusu-Agyemang et al.</t>
  </si>
  <si>
    <t>The Role of Computational Electromagnetics in National Defense and Infrastructure Security</t>
  </si>
  <si>
    <t>This review article describes the central role of computational electromagnetics (CEM) in national defense and infrastructure protection, including the fusion of CEM with AI for cognitive electronic warfare, HEMP/IEMI threat modeling, and the design of stealth platforms and antenna systems.</t>
  </si>
  <si>
    <t>This is a qualitative review without a specific quantitative result; it identifies key thematic areas (stealth/RCS, electronic warfare, HEMP/IEMI, antennas) and future directions (real-time multiphysics simulation, AI-accelerated solvers, quantum-enhanced electromagnetics).</t>
  </si>
  <si>
    <t>Not stated explicitly: the review article does not quantify results or state specific methodological limitations.</t>
  </si>
  <si>
    <t>Generally mentioned AI/ML (cognitive electronic warfare, AI-accelerated solvers) without specifying the technique</t>
  </si>
  <si>
    <t>EM_in_National_Defense.pdf</t>
  </si>
  <si>
    <t>Rayas-Sánchez et al.</t>
  </si>
  <si>
    <t>Microwave Modeling and Design Optimization: The Legacy of John Bandler</t>
  </si>
  <si>
    <t>A review/tribute article summarizes John Bandler's legacy in modeling and automated optimization of microwave circuit design, including minimax optimization, space mapping, and its connection to artificial neural networks and AI.</t>
  </si>
  <si>
    <t>A review/tribute article without its own quantitative results; it summarizes the historical development of minimax optimization, space mapping, and their connection to ANN/AI in microwave design.</t>
  </si>
  <si>
    <t>Not stated explicitly: this is a review/tribute article summarizing J. Bandler's legacy, not original experimental work with discussed limitations.</t>
  </si>
  <si>
    <t>ANN within neural space mapping (review)</t>
  </si>
  <si>
    <t>old/200 - Microwave Modeling and Design Optimization The Legacy of John Bandler.pdf</t>
  </si>
  <si>
    <t>Statistics (audited labels; core n = 123, adjacent n = 162; unique articles only)</t>
  </si>
  <si>
    <t>1) Core articles by EMC category</t>
  </si>
  <si>
    <t>Category</t>
  </si>
  <si>
    <t>Articles</t>
  </si>
  <si>
    <t>Share</t>
  </si>
  <si>
    <t>Total</t>
  </si>
  <si>
    <t>2) Core articles by AI technique family (audited)</t>
  </si>
  <si>
    <t>3) Adjacent articles by EM domain</t>
  </si>
  <si>
    <t>4) Adjacent articles by AI technique family</t>
  </si>
  <si>
    <t>5) Notes</t>
  </si>
  <si>
    <t>85% of core articles (105/123) appeared in 2021-2026; the 15 articles of Jan-Jul 2026 already approach the full-year maximum of 22 (2024).</t>
  </si>
  <si>
    <t>Technique-share differences between the layers are not statistically significant (chi-square = 3.59, df = 4; generative models: Fisher's exact p = 0.64).</t>
  </si>
  <si>
    <t>Temporal evidence of lagged adoption: first generative inverse-design article 2020 (adjacent) vs. 2023 (core); six of seven core instances date from 2024-2026.</t>
  </si>
  <si>
    <t>An AI-label consistency audit reassigned four category-A inverse-design works from family 1/2 to family 3; this workbook contains the audited labels.</t>
  </si>
  <si>
    <t>The corpus includes 37 survey articles (5 core, 32 adjacent), flagged in the Review column; excluding them changes the generative shares by less than 1 pp.</t>
  </si>
  <si>
    <t>Methodology</t>
  </si>
  <si>
    <t>Corpus: 382 PDF records collected over two years (2024-2026, last search July 2026) via Google Scholar, backward/forward snowballing from review articles, and expert recommendations gathered at EMC Europe, IEEE EMC+SIPI, and within the PATTERN doctoral network.</t>
  </si>
  <si>
    <t>Deduplication: bitwise MD5 hashes, DOI matching, and fuzzy title matching (similarity &gt; 0.90) with manual verification; 13 duplicates removed, leaving 369 unique documents.</t>
  </si>
  <si>
    <t>Screening: each document was classified into one of five relevance groups (AI in EMC; AI in adjacent EM domains; EMC without AI; AI without EMC; out of scope). 84 documents were excluded, leaving 285 analyzed articles (123 core + 162 adjacent). Excluded and duplicate items appear in no statistic.</t>
  </si>
  <si>
    <t>Classification: four team members labeled every article with one EMC/EM category and one AI technique family (main-contribution rule); disagreements were resolved by discussion with the first author adjudicating. A post-hoc consistency audit reassigned four category-A inverse-design works to the generative/inverse family; this workbook and the accompanying CSV files contain the audited labels.</t>
  </si>
  <si>
    <t>Annotations: core claim, results, and limitations were extracted from each article's abstract, introduction, and conclusions (full text where needed).</t>
  </si>
  <si>
    <t>License: CC BY 4.0. The dataset contains bibliographic metadata and original annotations only and does not redistribute article full texts.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</si>
</sst>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0"/>
      <color rgb="FFFFFFFF"/>
      <name val="Arial"/>
      <family val="2"/>
    </font>
    <font>
      <sz val="10"/>
      <name val="Arial"/>
      <family val="2"/>
    </font>
    <font>
      <b/>
      <sz val="13"/>
      <name val="Arial"/>
      <family val="2"/>
    </font>
    <font>
      <b/>
      <sz val="10"/>
      <name val="Arial"/>
      <family val="2"/>
    </font>
    <font>
      <b/>
      <sz val="10"/>
      <color theme="1"/>
      <name val="Arial"/>
      <family val="2"/>
    </font>
  </fonts>
  <fills count="4">
    <fill>
      <patternFill patternType="none"/>
    </fill>
    <fill>
      <patternFill patternType="gray125"/>
    </fill>
    <fill>
      <patternFill patternType="solid">
        <fgColor rgb="FF4E6B2F"/>
      </patternFill>
    </fill>
    <fill>
      <patternFill patternType="solid">
        <fgColor rgb="FFFFC0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2" fillId="0" borderId="1" xfId="0" applyFont="1" applyBorder="1" applyAlignment="1">
      <alignment horizontal="center" vertical="top"/>
    </xf>
    <xf numFmtId="0" fontId="2" fillId="0" borderId="1" xfId="0" applyFont="1" applyBorder="1" applyAlignment="1">
      <alignment vertical="top"/>
    </xf>
    <xf numFmtId="0" fontId="2" fillId="0" borderId="1" xfId="0" applyFont="1" applyBorder="1" applyAlignment="1">
      <alignment vertical="top" wrapText="1"/>
    </xf>
    <xf numFmtId="0" fontId="1" fillId="2" borderId="1" xfId="0" applyFont="1" applyFill="1" applyBorder="1" applyAlignment="1">
      <alignment vertical="center" wrapText="1"/>
    </xf>
    <xf numFmtId="0" fontId="3" fillId="0" borderId="0" xfId="0" applyFont="1"/>
    <xf numFmtId="0" fontId="4" fillId="0" borderId="0" xfId="0" applyFont="1"/>
    <xf numFmtId="0" fontId="2" fillId="0" borderId="1" xfId="0" applyFont="1" applyBorder="1"/>
    <xf numFmtId="164" fontId="2" fillId="0" borderId="1" xfId="0" applyNumberFormat="1" applyFont="1" applyBorder="1"/>
    <xf numFmtId="0" fontId="4" fillId="0" borderId="1" xfId="0" applyFont="1" applyBorder="1"/>
    <xf numFmtId="0" fontId="0" fillId="0" borderId="1" xfId="0" applyBorder="1"/>
    <xf numFmtId="0" fontId="1" fillId="2" borderId="1" xfId="0" applyFont="1" applyFill="1" applyBorder="1"/>
    <xf numFmtId="0" fontId="2" fillId="0" borderId="0" xfId="0" applyFont="1" applyAlignment="1">
      <alignment vertical="top" wrapText="1"/>
    </xf>
    <xf numFmtId="0" fontId="3" fillId="0" borderId="0" xfId="0" applyFont="1" applyAlignment="1">
      <alignment vertical="top" wrapText="1"/>
    </xf>
    <xf numFmtId="0" fontId="2" fillId="0" borderId="0" xfId="0" applyFont="1" applyAlignment="1">
      <alignment vertical="top" wrapText="1"/>
    </xf>
    <xf numFmtId="0" fontId="0" fillId="0" borderId="0" xfId="0"/>
    <xf numFmtId="0" fontId="5" fillId="3" borderId="1" xfId="0" applyFont="1" applyFill="1" applyBorder="1" applyAlignment="1">
      <alignment vertical="center" wrapText="1"/>
    </xf>
    <xf numFmtId="0" fontId="5" fillId="3" borderId="1" xfId="0" applyFont="1" applyFill="1" applyBorder="1"/>
  </cellXfs>
  <cellStyles count="1">
    <cellStyle name="Normální"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4"/>
  <sheetViews>
    <sheetView tabSelected="1" topLeftCell="F1" workbookViewId="0">
      <pane ySplit="1" topLeftCell="A2" activePane="bottomLeft" state="frozen"/>
      <selection pane="bottomLeft" sqref="A1:L1"/>
    </sheetView>
  </sheetViews>
  <sheetFormatPr baseColWidth="10" defaultColWidth="8.83203125" defaultRowHeight="15" x14ac:dyDescent="0.2"/>
  <cols>
    <col min="1" max="1" width="5" customWidth="1"/>
    <col min="2" max="2" width="16" customWidth="1"/>
    <col min="3" max="3" width="7" customWidth="1"/>
    <col min="4" max="4" width="38" customWidth="1"/>
    <col min="5" max="7" width="48" customWidth="1"/>
    <col min="8" max="9" width="24" customWidth="1"/>
    <col min="10" max="10" width="22" customWidth="1"/>
    <col min="11" max="11" width="8" customWidth="1"/>
    <col min="12" max="12" width="34" customWidth="1"/>
  </cols>
  <sheetData>
    <row r="1" spans="1:12" x14ac:dyDescent="0.2">
      <c r="A1" s="16" t="s">
        <v>0</v>
      </c>
      <c r="B1" s="16" t="s">
        <v>1</v>
      </c>
      <c r="C1" s="16" t="s">
        <v>2</v>
      </c>
      <c r="D1" s="16" t="s">
        <v>3</v>
      </c>
      <c r="E1" s="16" t="s">
        <v>4</v>
      </c>
      <c r="F1" s="16" t="s">
        <v>5</v>
      </c>
      <c r="G1" s="16" t="s">
        <v>6</v>
      </c>
      <c r="H1" s="16" t="s">
        <v>7</v>
      </c>
      <c r="I1" s="16" t="s">
        <v>8</v>
      </c>
      <c r="J1" s="16" t="s">
        <v>9</v>
      </c>
      <c r="K1" s="16" t="s">
        <v>10</v>
      </c>
      <c r="L1" s="16" t="s">
        <v>11</v>
      </c>
    </row>
    <row r="2" spans="1:12" ht="95" customHeight="1" x14ac:dyDescent="0.2">
      <c r="A2" s="1">
        <v>1</v>
      </c>
      <c r="B2" s="2" t="s">
        <v>12</v>
      </c>
      <c r="C2" s="1">
        <v>2020</v>
      </c>
      <c r="D2" s="3" t="s">
        <v>13</v>
      </c>
      <c r="E2" s="3" t="s">
        <v>14</v>
      </c>
      <c r="F2" s="3" t="s">
        <v>15</v>
      </c>
      <c r="G2" s="3" t="s">
        <v>16</v>
      </c>
      <c r="H2" s="3" t="s">
        <v>17</v>
      </c>
      <c r="I2" s="3" t="s">
        <v>18</v>
      </c>
      <c r="J2" s="3" t="s">
        <v>19</v>
      </c>
      <c r="K2" s="1"/>
      <c r="L2" s="3" t="s">
        <v>20</v>
      </c>
    </row>
    <row r="3" spans="1:12" ht="95" customHeight="1" x14ac:dyDescent="0.2">
      <c r="A3" s="1">
        <v>2</v>
      </c>
      <c r="B3" s="2" t="s">
        <v>21</v>
      </c>
      <c r="C3" s="1">
        <v>2021</v>
      </c>
      <c r="D3" s="3" t="s">
        <v>22</v>
      </c>
      <c r="E3" s="3" t="s">
        <v>23</v>
      </c>
      <c r="F3" s="3" t="s">
        <v>24</v>
      </c>
      <c r="G3" s="3" t="s">
        <v>25</v>
      </c>
      <c r="H3" s="3" t="s">
        <v>17</v>
      </c>
      <c r="I3" s="3" t="s">
        <v>18</v>
      </c>
      <c r="J3" s="3" t="s">
        <v>26</v>
      </c>
      <c r="K3" s="1" t="s">
        <v>27</v>
      </c>
      <c r="L3" s="3" t="s">
        <v>28</v>
      </c>
    </row>
    <row r="4" spans="1:12" ht="82" customHeight="1" x14ac:dyDescent="0.2">
      <c r="A4" s="1">
        <v>3</v>
      </c>
      <c r="B4" s="2" t="s">
        <v>29</v>
      </c>
      <c r="C4" s="1">
        <v>2021</v>
      </c>
      <c r="D4" s="3" t="s">
        <v>30</v>
      </c>
      <c r="E4" s="3" t="s">
        <v>31</v>
      </c>
      <c r="F4" s="3" t="s">
        <v>32</v>
      </c>
      <c r="G4" s="3" t="s">
        <v>33</v>
      </c>
      <c r="H4" s="3" t="s">
        <v>17</v>
      </c>
      <c r="I4" s="3" t="s">
        <v>34</v>
      </c>
      <c r="J4" s="3" t="s">
        <v>35</v>
      </c>
      <c r="K4" s="1"/>
      <c r="L4" s="3" t="s">
        <v>36</v>
      </c>
    </row>
    <row r="5" spans="1:12" ht="108" customHeight="1" x14ac:dyDescent="0.2">
      <c r="A5" s="1">
        <v>4</v>
      </c>
      <c r="B5" s="2" t="s">
        <v>37</v>
      </c>
      <c r="C5" s="1">
        <v>2021</v>
      </c>
      <c r="D5" s="3" t="s">
        <v>38</v>
      </c>
      <c r="E5" s="3" t="s">
        <v>39</v>
      </c>
      <c r="F5" s="3" t="s">
        <v>40</v>
      </c>
      <c r="G5" s="3" t="s">
        <v>41</v>
      </c>
      <c r="H5" s="3" t="s">
        <v>17</v>
      </c>
      <c r="I5" s="3" t="s">
        <v>18</v>
      </c>
      <c r="J5" s="3" t="s">
        <v>42</v>
      </c>
      <c r="K5" s="1"/>
      <c r="L5" s="3" t="s">
        <v>43</v>
      </c>
    </row>
    <row r="6" spans="1:12" ht="82" customHeight="1" x14ac:dyDescent="0.2">
      <c r="A6" s="1">
        <v>5</v>
      </c>
      <c r="B6" s="2" t="s">
        <v>44</v>
      </c>
      <c r="C6" s="1">
        <v>2022</v>
      </c>
      <c r="D6" s="3" t="s">
        <v>45</v>
      </c>
      <c r="E6" s="3" t="s">
        <v>46</v>
      </c>
      <c r="F6" s="3" t="s">
        <v>47</v>
      </c>
      <c r="G6" s="3" t="s">
        <v>48</v>
      </c>
      <c r="H6" s="3" t="s">
        <v>17</v>
      </c>
      <c r="I6" s="3" t="s">
        <v>34</v>
      </c>
      <c r="J6" s="3" t="s">
        <v>49</v>
      </c>
      <c r="K6" s="1"/>
      <c r="L6" s="3" t="s">
        <v>50</v>
      </c>
    </row>
    <row r="7" spans="1:12" ht="95" customHeight="1" x14ac:dyDescent="0.2">
      <c r="A7" s="1">
        <v>6</v>
      </c>
      <c r="B7" s="2" t="s">
        <v>51</v>
      </c>
      <c r="C7" s="1">
        <v>2023</v>
      </c>
      <c r="D7" s="3" t="s">
        <v>52</v>
      </c>
      <c r="E7" s="3" t="s">
        <v>53</v>
      </c>
      <c r="F7" s="3" t="s">
        <v>54</v>
      </c>
      <c r="G7" s="3" t="s">
        <v>55</v>
      </c>
      <c r="H7" s="3" t="s">
        <v>17</v>
      </c>
      <c r="I7" s="3" t="s">
        <v>56</v>
      </c>
      <c r="J7" s="3" t="s">
        <v>57</v>
      </c>
      <c r="K7" s="1"/>
      <c r="L7" s="3" t="s">
        <v>58</v>
      </c>
    </row>
    <row r="8" spans="1:12" ht="108" customHeight="1" x14ac:dyDescent="0.2">
      <c r="A8" s="1">
        <v>7</v>
      </c>
      <c r="B8" s="2" t="s">
        <v>59</v>
      </c>
      <c r="C8" s="1">
        <v>2023</v>
      </c>
      <c r="D8" s="3" t="s">
        <v>60</v>
      </c>
      <c r="E8" s="3" t="s">
        <v>61</v>
      </c>
      <c r="F8" s="3" t="s">
        <v>62</v>
      </c>
      <c r="G8" s="3" t="s">
        <v>63</v>
      </c>
      <c r="H8" s="3" t="s">
        <v>17</v>
      </c>
      <c r="I8" s="3" t="s">
        <v>18</v>
      </c>
      <c r="J8" s="3" t="s">
        <v>64</v>
      </c>
      <c r="K8" s="1"/>
      <c r="L8" s="3" t="s">
        <v>65</v>
      </c>
    </row>
    <row r="9" spans="1:12" ht="121" customHeight="1" x14ac:dyDescent="0.2">
      <c r="A9" s="1">
        <v>8</v>
      </c>
      <c r="B9" s="2" t="s">
        <v>66</v>
      </c>
      <c r="C9" s="1">
        <v>2023</v>
      </c>
      <c r="D9" s="3" t="s">
        <v>67</v>
      </c>
      <c r="E9" s="3" t="s">
        <v>68</v>
      </c>
      <c r="F9" s="3" t="s">
        <v>69</v>
      </c>
      <c r="G9" s="3" t="s">
        <v>70</v>
      </c>
      <c r="H9" s="3" t="s">
        <v>17</v>
      </c>
      <c r="I9" s="3" t="s">
        <v>34</v>
      </c>
      <c r="J9" s="3" t="s">
        <v>71</v>
      </c>
      <c r="K9" s="1"/>
      <c r="L9" s="3" t="s">
        <v>72</v>
      </c>
    </row>
    <row r="10" spans="1:12" ht="95" customHeight="1" x14ac:dyDescent="0.2">
      <c r="A10" s="1">
        <v>9</v>
      </c>
      <c r="B10" s="2" t="s">
        <v>73</v>
      </c>
      <c r="C10" s="1">
        <v>2023</v>
      </c>
      <c r="D10" s="3" t="s">
        <v>74</v>
      </c>
      <c r="E10" s="3" t="s">
        <v>75</v>
      </c>
      <c r="F10" s="3" t="s">
        <v>76</v>
      </c>
      <c r="G10" s="3" t="s">
        <v>77</v>
      </c>
      <c r="H10" s="3" t="s">
        <v>17</v>
      </c>
      <c r="I10" s="3" t="s">
        <v>34</v>
      </c>
      <c r="J10" s="3" t="s">
        <v>78</v>
      </c>
      <c r="K10" s="1"/>
      <c r="L10" s="3" t="s">
        <v>79</v>
      </c>
    </row>
    <row r="11" spans="1:12" ht="95" customHeight="1" x14ac:dyDescent="0.2">
      <c r="A11" s="1">
        <v>10</v>
      </c>
      <c r="B11" s="2" t="s">
        <v>80</v>
      </c>
      <c r="C11" s="1">
        <v>2023</v>
      </c>
      <c r="D11" s="3" t="s">
        <v>81</v>
      </c>
      <c r="E11" s="3" t="s">
        <v>82</v>
      </c>
      <c r="F11" s="3" t="s">
        <v>83</v>
      </c>
      <c r="G11" s="3" t="s">
        <v>84</v>
      </c>
      <c r="H11" s="3" t="s">
        <v>17</v>
      </c>
      <c r="I11" s="3" t="s">
        <v>85</v>
      </c>
      <c r="J11" s="3" t="s">
        <v>86</v>
      </c>
      <c r="K11" s="1"/>
      <c r="L11" s="3" t="s">
        <v>87</v>
      </c>
    </row>
    <row r="12" spans="1:12" ht="95" customHeight="1" x14ac:dyDescent="0.2">
      <c r="A12" s="1">
        <v>11</v>
      </c>
      <c r="B12" s="2" t="s">
        <v>88</v>
      </c>
      <c r="C12" s="1">
        <v>2023</v>
      </c>
      <c r="D12" s="3" t="s">
        <v>89</v>
      </c>
      <c r="E12" s="3" t="s">
        <v>90</v>
      </c>
      <c r="F12" s="3" t="s">
        <v>91</v>
      </c>
      <c r="G12" s="3" t="s">
        <v>92</v>
      </c>
      <c r="H12" s="3" t="s">
        <v>17</v>
      </c>
      <c r="I12" s="3" t="s">
        <v>93</v>
      </c>
      <c r="J12" s="3" t="s">
        <v>94</v>
      </c>
      <c r="K12" s="1"/>
      <c r="L12" s="3" t="s">
        <v>95</v>
      </c>
    </row>
    <row r="13" spans="1:12" ht="108" customHeight="1" x14ac:dyDescent="0.2">
      <c r="A13" s="1">
        <v>12</v>
      </c>
      <c r="B13" s="2" t="s">
        <v>29</v>
      </c>
      <c r="C13" s="1">
        <v>2024</v>
      </c>
      <c r="D13" s="3" t="s">
        <v>96</v>
      </c>
      <c r="E13" s="3" t="s">
        <v>97</v>
      </c>
      <c r="F13" s="3" t="s">
        <v>98</v>
      </c>
      <c r="G13" s="3" t="s">
        <v>99</v>
      </c>
      <c r="H13" s="3" t="s">
        <v>17</v>
      </c>
      <c r="I13" s="3" t="s">
        <v>34</v>
      </c>
      <c r="J13" s="3" t="s">
        <v>100</v>
      </c>
      <c r="K13" s="1"/>
      <c r="L13" s="3" t="s">
        <v>101</v>
      </c>
    </row>
    <row r="14" spans="1:12" ht="121" customHeight="1" x14ac:dyDescent="0.2">
      <c r="A14" s="1">
        <v>13</v>
      </c>
      <c r="B14" s="2" t="s">
        <v>102</v>
      </c>
      <c r="C14" s="1">
        <v>2024</v>
      </c>
      <c r="D14" s="3" t="s">
        <v>103</v>
      </c>
      <c r="E14" s="3" t="s">
        <v>104</v>
      </c>
      <c r="F14" s="3" t="s">
        <v>105</v>
      </c>
      <c r="G14" s="3" t="s">
        <v>106</v>
      </c>
      <c r="H14" s="3" t="s">
        <v>17</v>
      </c>
      <c r="I14" s="3" t="s">
        <v>34</v>
      </c>
      <c r="J14" s="3" t="s">
        <v>107</v>
      </c>
      <c r="K14" s="1"/>
      <c r="L14" s="3" t="s">
        <v>108</v>
      </c>
    </row>
    <row r="15" spans="1:12" ht="121" customHeight="1" x14ac:dyDescent="0.2">
      <c r="A15" s="1">
        <v>14</v>
      </c>
      <c r="B15" s="2" t="s">
        <v>109</v>
      </c>
      <c r="C15" s="1">
        <v>2025</v>
      </c>
      <c r="D15" s="3" t="s">
        <v>110</v>
      </c>
      <c r="E15" s="3" t="s">
        <v>111</v>
      </c>
      <c r="F15" s="3" t="s">
        <v>112</v>
      </c>
      <c r="G15" s="3" t="s">
        <v>113</v>
      </c>
      <c r="H15" s="3" t="s">
        <v>17</v>
      </c>
      <c r="I15" s="3" t="s">
        <v>18</v>
      </c>
      <c r="J15" s="3" t="s">
        <v>114</v>
      </c>
      <c r="K15" s="1"/>
      <c r="L15" s="3" t="s">
        <v>115</v>
      </c>
    </row>
    <row r="16" spans="1:12" ht="108" customHeight="1" x14ac:dyDescent="0.2">
      <c r="A16" s="1">
        <v>15</v>
      </c>
      <c r="B16" s="2" t="s">
        <v>116</v>
      </c>
      <c r="C16" s="1">
        <v>2025</v>
      </c>
      <c r="D16" s="3" t="s">
        <v>117</v>
      </c>
      <c r="E16" s="3" t="s">
        <v>118</v>
      </c>
      <c r="F16" s="3" t="s">
        <v>119</v>
      </c>
      <c r="G16" s="3" t="s">
        <v>120</v>
      </c>
      <c r="H16" s="3" t="s">
        <v>17</v>
      </c>
      <c r="I16" s="3" t="s">
        <v>18</v>
      </c>
      <c r="J16" s="3" t="s">
        <v>121</v>
      </c>
      <c r="K16" s="1"/>
      <c r="L16" s="3" t="s">
        <v>122</v>
      </c>
    </row>
    <row r="17" spans="1:12" ht="147" customHeight="1" x14ac:dyDescent="0.2">
      <c r="A17" s="1">
        <v>16</v>
      </c>
      <c r="B17" s="2" t="s">
        <v>123</v>
      </c>
      <c r="C17" s="1">
        <v>2025</v>
      </c>
      <c r="D17" s="3" t="s">
        <v>124</v>
      </c>
      <c r="E17" s="3" t="s">
        <v>125</v>
      </c>
      <c r="F17" s="3" t="s">
        <v>126</v>
      </c>
      <c r="G17" s="3" t="s">
        <v>127</v>
      </c>
      <c r="H17" s="3" t="s">
        <v>17</v>
      </c>
      <c r="I17" s="3" t="s">
        <v>18</v>
      </c>
      <c r="J17" s="3" t="s">
        <v>128</v>
      </c>
      <c r="K17" s="1"/>
      <c r="L17" s="3" t="s">
        <v>129</v>
      </c>
    </row>
    <row r="18" spans="1:12" ht="95" customHeight="1" x14ac:dyDescent="0.2">
      <c r="A18" s="1">
        <v>17</v>
      </c>
      <c r="B18" s="2" t="s">
        <v>73</v>
      </c>
      <c r="C18" s="1">
        <v>2025</v>
      </c>
      <c r="D18" s="3" t="s">
        <v>130</v>
      </c>
      <c r="E18" s="3" t="s">
        <v>131</v>
      </c>
      <c r="F18" s="3" t="s">
        <v>132</v>
      </c>
      <c r="G18" s="3" t="s">
        <v>133</v>
      </c>
      <c r="H18" s="3" t="s">
        <v>17</v>
      </c>
      <c r="I18" s="3" t="s">
        <v>18</v>
      </c>
      <c r="J18" s="3" t="s">
        <v>134</v>
      </c>
      <c r="K18" s="1"/>
      <c r="L18" s="3" t="s">
        <v>135</v>
      </c>
    </row>
    <row r="19" spans="1:12" ht="95" customHeight="1" x14ac:dyDescent="0.2">
      <c r="A19" s="1">
        <v>18</v>
      </c>
      <c r="B19" s="2" t="s">
        <v>136</v>
      </c>
      <c r="C19" s="1">
        <v>2025</v>
      </c>
      <c r="D19" s="3" t="s">
        <v>137</v>
      </c>
      <c r="E19" s="3" t="s">
        <v>138</v>
      </c>
      <c r="F19" s="3" t="s">
        <v>139</v>
      </c>
      <c r="G19" s="3" t="s">
        <v>140</v>
      </c>
      <c r="H19" s="3" t="s">
        <v>17</v>
      </c>
      <c r="I19" s="3" t="s">
        <v>56</v>
      </c>
      <c r="J19" s="3" t="s">
        <v>141</v>
      </c>
      <c r="K19" s="1"/>
      <c r="L19" s="3" t="s">
        <v>142</v>
      </c>
    </row>
    <row r="20" spans="1:12" ht="108" customHeight="1" x14ac:dyDescent="0.2">
      <c r="A20" s="1">
        <v>19</v>
      </c>
      <c r="B20" s="2" t="s">
        <v>143</v>
      </c>
      <c r="C20" s="1">
        <v>2025</v>
      </c>
      <c r="D20" s="3" t="s">
        <v>144</v>
      </c>
      <c r="E20" s="3" t="s">
        <v>145</v>
      </c>
      <c r="F20" s="3" t="s">
        <v>146</v>
      </c>
      <c r="G20" s="3" t="s">
        <v>147</v>
      </c>
      <c r="H20" s="3" t="s">
        <v>17</v>
      </c>
      <c r="I20" s="3" t="s">
        <v>85</v>
      </c>
      <c r="J20" s="3" t="s">
        <v>148</v>
      </c>
      <c r="K20" s="1"/>
      <c r="L20" s="3" t="s">
        <v>149</v>
      </c>
    </row>
    <row r="21" spans="1:12" ht="95" customHeight="1" x14ac:dyDescent="0.2">
      <c r="A21" s="1">
        <v>20</v>
      </c>
      <c r="B21" s="2" t="s">
        <v>150</v>
      </c>
      <c r="C21" s="1">
        <v>2025</v>
      </c>
      <c r="D21" s="3" t="s">
        <v>151</v>
      </c>
      <c r="E21" s="3" t="s">
        <v>152</v>
      </c>
      <c r="F21" s="3" t="s">
        <v>153</v>
      </c>
      <c r="G21" s="3" t="s">
        <v>154</v>
      </c>
      <c r="H21" s="3" t="s">
        <v>17</v>
      </c>
      <c r="I21" s="3" t="s">
        <v>56</v>
      </c>
      <c r="J21" s="3" t="s">
        <v>155</v>
      </c>
      <c r="K21" s="1"/>
      <c r="L21" s="3" t="s">
        <v>156</v>
      </c>
    </row>
    <row r="22" spans="1:12" ht="95" customHeight="1" x14ac:dyDescent="0.2">
      <c r="A22" s="1">
        <v>21</v>
      </c>
      <c r="B22" s="2" t="s">
        <v>157</v>
      </c>
      <c r="C22" s="1">
        <v>2025</v>
      </c>
      <c r="D22" s="3" t="s">
        <v>158</v>
      </c>
      <c r="E22" s="3" t="s">
        <v>159</v>
      </c>
      <c r="F22" s="3" t="s">
        <v>160</v>
      </c>
      <c r="G22" s="3" t="s">
        <v>161</v>
      </c>
      <c r="H22" s="3" t="s">
        <v>17</v>
      </c>
      <c r="I22" s="3" t="s">
        <v>56</v>
      </c>
      <c r="J22" s="3" t="s">
        <v>162</v>
      </c>
      <c r="K22" s="1"/>
      <c r="L22" s="3" t="s">
        <v>163</v>
      </c>
    </row>
    <row r="23" spans="1:12" ht="108" customHeight="1" x14ac:dyDescent="0.2">
      <c r="A23" s="1">
        <v>22</v>
      </c>
      <c r="B23" s="2" t="s">
        <v>164</v>
      </c>
      <c r="C23" s="1">
        <v>2025</v>
      </c>
      <c r="D23" s="3" t="s">
        <v>165</v>
      </c>
      <c r="E23" s="3" t="s">
        <v>166</v>
      </c>
      <c r="F23" s="3" t="s">
        <v>167</v>
      </c>
      <c r="G23" s="3" t="s">
        <v>168</v>
      </c>
      <c r="H23" s="3" t="s">
        <v>17</v>
      </c>
      <c r="I23" s="3" t="s">
        <v>18</v>
      </c>
      <c r="J23" s="3" t="s">
        <v>169</v>
      </c>
      <c r="K23" s="1"/>
      <c r="L23" s="3" t="s">
        <v>170</v>
      </c>
    </row>
    <row r="24" spans="1:12" ht="108" customHeight="1" x14ac:dyDescent="0.2">
      <c r="A24" s="1">
        <v>23</v>
      </c>
      <c r="B24" s="2" t="s">
        <v>171</v>
      </c>
      <c r="C24" s="1">
        <v>2025</v>
      </c>
      <c r="D24" s="3" t="s">
        <v>172</v>
      </c>
      <c r="E24" s="3" t="s">
        <v>173</v>
      </c>
      <c r="F24" s="3" t="s">
        <v>174</v>
      </c>
      <c r="G24" s="3" t="s">
        <v>175</v>
      </c>
      <c r="H24" s="3" t="s">
        <v>17</v>
      </c>
      <c r="I24" s="3" t="s">
        <v>93</v>
      </c>
      <c r="J24" s="3" t="s">
        <v>176</v>
      </c>
      <c r="K24" s="1"/>
      <c r="L24" s="3" t="s">
        <v>177</v>
      </c>
    </row>
    <row r="25" spans="1:12" ht="108" customHeight="1" x14ac:dyDescent="0.2">
      <c r="A25" s="1">
        <v>24</v>
      </c>
      <c r="B25" s="2" t="s">
        <v>178</v>
      </c>
      <c r="C25" s="1">
        <v>2025</v>
      </c>
      <c r="D25" s="3" t="s">
        <v>179</v>
      </c>
      <c r="E25" s="3" t="s">
        <v>180</v>
      </c>
      <c r="F25" s="3" t="s">
        <v>181</v>
      </c>
      <c r="G25" s="3" t="s">
        <v>182</v>
      </c>
      <c r="H25" s="3" t="s">
        <v>17</v>
      </c>
      <c r="I25" s="3" t="s">
        <v>34</v>
      </c>
      <c r="J25" s="3" t="s">
        <v>183</v>
      </c>
      <c r="K25" s="1"/>
      <c r="L25" s="3" t="s">
        <v>184</v>
      </c>
    </row>
    <row r="26" spans="1:12" ht="95" customHeight="1" x14ac:dyDescent="0.2">
      <c r="A26" s="1">
        <v>25</v>
      </c>
      <c r="B26" s="2" t="s">
        <v>185</v>
      </c>
      <c r="C26" s="1">
        <v>2026</v>
      </c>
      <c r="D26" s="3" t="s">
        <v>186</v>
      </c>
      <c r="E26" s="3" t="s">
        <v>187</v>
      </c>
      <c r="F26" s="3" t="s">
        <v>188</v>
      </c>
      <c r="G26" s="3" t="s">
        <v>189</v>
      </c>
      <c r="H26" s="3" t="s">
        <v>17</v>
      </c>
      <c r="I26" s="3" t="s">
        <v>56</v>
      </c>
      <c r="J26" s="3" t="s">
        <v>190</v>
      </c>
      <c r="K26" s="1"/>
      <c r="L26" s="3" t="s">
        <v>191</v>
      </c>
    </row>
    <row r="27" spans="1:12" ht="95" customHeight="1" x14ac:dyDescent="0.2">
      <c r="A27" s="1">
        <v>26</v>
      </c>
      <c r="B27" s="2" t="s">
        <v>192</v>
      </c>
      <c r="C27" s="1">
        <v>2026</v>
      </c>
      <c r="D27" s="3" t="s">
        <v>193</v>
      </c>
      <c r="E27" s="3" t="s">
        <v>194</v>
      </c>
      <c r="F27" s="3" t="s">
        <v>195</v>
      </c>
      <c r="G27" s="3" t="s">
        <v>196</v>
      </c>
      <c r="H27" s="3" t="s">
        <v>17</v>
      </c>
      <c r="I27" s="3" t="s">
        <v>18</v>
      </c>
      <c r="J27" s="3" t="s">
        <v>197</v>
      </c>
      <c r="K27" s="1"/>
      <c r="L27" s="3" t="s">
        <v>198</v>
      </c>
    </row>
    <row r="28" spans="1:12" ht="95" customHeight="1" x14ac:dyDescent="0.2">
      <c r="A28" s="1">
        <v>27</v>
      </c>
      <c r="B28" s="2" t="s">
        <v>199</v>
      </c>
      <c r="C28" s="1">
        <v>2026</v>
      </c>
      <c r="D28" s="3" t="s">
        <v>200</v>
      </c>
      <c r="E28" s="3" t="s">
        <v>201</v>
      </c>
      <c r="F28" s="3" t="s">
        <v>202</v>
      </c>
      <c r="G28" s="3" t="s">
        <v>203</v>
      </c>
      <c r="H28" s="3" t="s">
        <v>17</v>
      </c>
      <c r="I28" s="3" t="s">
        <v>34</v>
      </c>
      <c r="J28" s="3" t="s">
        <v>204</v>
      </c>
      <c r="K28" s="1"/>
      <c r="L28" s="3" t="s">
        <v>205</v>
      </c>
    </row>
    <row r="29" spans="1:12" ht="69" customHeight="1" x14ac:dyDescent="0.2">
      <c r="A29" s="1">
        <v>28</v>
      </c>
      <c r="B29" s="2" t="s">
        <v>206</v>
      </c>
      <c r="C29" s="1">
        <v>2026</v>
      </c>
      <c r="D29" s="3" t="s">
        <v>207</v>
      </c>
      <c r="E29" s="3" t="s">
        <v>208</v>
      </c>
      <c r="F29" s="3" t="s">
        <v>209</v>
      </c>
      <c r="G29" s="3" t="s">
        <v>210</v>
      </c>
      <c r="H29" s="3" t="s">
        <v>17</v>
      </c>
      <c r="I29" s="3" t="s">
        <v>34</v>
      </c>
      <c r="J29" s="3" t="s">
        <v>211</v>
      </c>
      <c r="K29" s="1"/>
      <c r="L29" s="3" t="s">
        <v>212</v>
      </c>
    </row>
    <row r="30" spans="1:12" ht="95" customHeight="1" x14ac:dyDescent="0.2">
      <c r="A30" s="1">
        <v>29</v>
      </c>
      <c r="B30" s="2" t="s">
        <v>213</v>
      </c>
      <c r="C30" s="1">
        <v>2026</v>
      </c>
      <c r="D30" s="3" t="s">
        <v>214</v>
      </c>
      <c r="E30" s="3" t="s">
        <v>215</v>
      </c>
      <c r="F30" s="3" t="s">
        <v>216</v>
      </c>
      <c r="G30" s="3" t="s">
        <v>217</v>
      </c>
      <c r="H30" s="3" t="s">
        <v>17</v>
      </c>
      <c r="I30" s="3" t="s">
        <v>18</v>
      </c>
      <c r="J30" s="3" t="s">
        <v>218</v>
      </c>
      <c r="K30" s="1"/>
      <c r="L30" s="3" t="s">
        <v>219</v>
      </c>
    </row>
    <row r="31" spans="1:12" ht="108" customHeight="1" x14ac:dyDescent="0.2">
      <c r="A31" s="1">
        <v>30</v>
      </c>
      <c r="B31" s="2" t="s">
        <v>73</v>
      </c>
      <c r="C31" s="1">
        <v>2026</v>
      </c>
      <c r="D31" s="3" t="s">
        <v>220</v>
      </c>
      <c r="E31" s="3" t="s">
        <v>221</v>
      </c>
      <c r="F31" s="3" t="s">
        <v>222</v>
      </c>
      <c r="G31" s="3" t="s">
        <v>223</v>
      </c>
      <c r="H31" s="3" t="s">
        <v>17</v>
      </c>
      <c r="I31" s="3" t="s">
        <v>18</v>
      </c>
      <c r="J31" s="3" t="s">
        <v>224</v>
      </c>
      <c r="K31" s="1"/>
      <c r="L31" s="3" t="s">
        <v>225</v>
      </c>
    </row>
    <row r="32" spans="1:12" ht="95" customHeight="1" x14ac:dyDescent="0.2">
      <c r="A32" s="1">
        <v>31</v>
      </c>
      <c r="B32" s="2" t="s">
        <v>226</v>
      </c>
      <c r="C32" s="1">
        <v>2026</v>
      </c>
      <c r="D32" s="3" t="s">
        <v>227</v>
      </c>
      <c r="E32" s="3" t="s">
        <v>228</v>
      </c>
      <c r="F32" s="3" t="s">
        <v>229</v>
      </c>
      <c r="G32" s="3" t="s">
        <v>230</v>
      </c>
      <c r="H32" s="3" t="s">
        <v>17</v>
      </c>
      <c r="I32" s="3" t="s">
        <v>93</v>
      </c>
      <c r="J32" s="3" t="s">
        <v>231</v>
      </c>
      <c r="K32" s="1"/>
      <c r="L32" s="3" t="s">
        <v>232</v>
      </c>
    </row>
    <row r="33" spans="1:12" ht="121" customHeight="1" x14ac:dyDescent="0.2">
      <c r="A33" s="1">
        <v>32</v>
      </c>
      <c r="B33" s="2" t="s">
        <v>136</v>
      </c>
      <c r="C33" s="1">
        <v>2026</v>
      </c>
      <c r="D33" s="3" t="s">
        <v>233</v>
      </c>
      <c r="E33" s="3" t="s">
        <v>234</v>
      </c>
      <c r="F33" s="3" t="s">
        <v>235</v>
      </c>
      <c r="G33" s="3" t="s">
        <v>236</v>
      </c>
      <c r="H33" s="3" t="s">
        <v>17</v>
      </c>
      <c r="I33" s="3" t="s">
        <v>56</v>
      </c>
      <c r="J33" s="3" t="s">
        <v>237</v>
      </c>
      <c r="K33" s="1" t="s">
        <v>27</v>
      </c>
      <c r="L33" s="3" t="s">
        <v>238</v>
      </c>
    </row>
    <row r="34" spans="1:12" ht="121" customHeight="1" x14ac:dyDescent="0.2">
      <c r="A34" s="1">
        <v>33</v>
      </c>
      <c r="B34" s="2" t="s">
        <v>239</v>
      </c>
      <c r="C34" s="1">
        <v>2026</v>
      </c>
      <c r="D34" s="3" t="s">
        <v>240</v>
      </c>
      <c r="E34" s="3" t="s">
        <v>241</v>
      </c>
      <c r="F34" s="3" t="s">
        <v>242</v>
      </c>
      <c r="G34" s="3" t="s">
        <v>243</v>
      </c>
      <c r="H34" s="3" t="s">
        <v>17</v>
      </c>
      <c r="I34" s="3" t="s">
        <v>93</v>
      </c>
      <c r="J34" s="3" t="s">
        <v>244</v>
      </c>
      <c r="K34" s="1"/>
      <c r="L34" s="3" t="s">
        <v>245</v>
      </c>
    </row>
    <row r="35" spans="1:12" ht="95" customHeight="1" x14ac:dyDescent="0.2">
      <c r="A35" s="1">
        <v>34</v>
      </c>
      <c r="B35" s="2" t="s">
        <v>246</v>
      </c>
      <c r="C35" s="1">
        <v>2026</v>
      </c>
      <c r="D35" s="3" t="s">
        <v>247</v>
      </c>
      <c r="E35" s="3" t="s">
        <v>248</v>
      </c>
      <c r="F35" s="3" t="s">
        <v>249</v>
      </c>
      <c r="G35" s="3" t="s">
        <v>250</v>
      </c>
      <c r="H35" s="3" t="s">
        <v>17</v>
      </c>
      <c r="I35" s="3" t="s">
        <v>18</v>
      </c>
      <c r="J35" s="3" t="s">
        <v>251</v>
      </c>
      <c r="K35" s="1"/>
      <c r="L35" s="3" t="s">
        <v>252</v>
      </c>
    </row>
    <row r="36" spans="1:12" ht="121" customHeight="1" x14ac:dyDescent="0.2">
      <c r="A36" s="1">
        <v>35</v>
      </c>
      <c r="B36" s="2" t="s">
        <v>164</v>
      </c>
      <c r="C36" s="1">
        <v>2026</v>
      </c>
      <c r="D36" s="3" t="s">
        <v>253</v>
      </c>
      <c r="E36" s="3" t="s">
        <v>254</v>
      </c>
      <c r="F36" s="3" t="s">
        <v>255</v>
      </c>
      <c r="G36" s="3" t="s">
        <v>256</v>
      </c>
      <c r="H36" s="3" t="s">
        <v>17</v>
      </c>
      <c r="I36" s="3" t="s">
        <v>85</v>
      </c>
      <c r="J36" s="3" t="s">
        <v>257</v>
      </c>
      <c r="K36" s="1"/>
      <c r="L36" s="3" t="s">
        <v>258</v>
      </c>
    </row>
    <row r="37" spans="1:12" ht="121" customHeight="1" x14ac:dyDescent="0.2">
      <c r="A37" s="1">
        <v>36</v>
      </c>
      <c r="B37" s="2" t="s">
        <v>164</v>
      </c>
      <c r="C37" s="1">
        <v>2026</v>
      </c>
      <c r="D37" s="3" t="s">
        <v>259</v>
      </c>
      <c r="E37" s="3" t="s">
        <v>260</v>
      </c>
      <c r="F37" s="3" t="s">
        <v>261</v>
      </c>
      <c r="G37" s="3" t="s">
        <v>262</v>
      </c>
      <c r="H37" s="3" t="s">
        <v>17</v>
      </c>
      <c r="I37" s="3" t="s">
        <v>93</v>
      </c>
      <c r="J37" s="3" t="s">
        <v>263</v>
      </c>
      <c r="K37" s="1"/>
      <c r="L37" s="3" t="s">
        <v>264</v>
      </c>
    </row>
    <row r="38" spans="1:12" ht="108" customHeight="1" x14ac:dyDescent="0.2">
      <c r="A38" s="1">
        <v>37</v>
      </c>
      <c r="B38" s="2" t="s">
        <v>265</v>
      </c>
      <c r="C38" s="1">
        <v>2026</v>
      </c>
      <c r="D38" s="3" t="s">
        <v>266</v>
      </c>
      <c r="E38" s="3" t="s">
        <v>267</v>
      </c>
      <c r="F38" s="3" t="s">
        <v>268</v>
      </c>
      <c r="G38" s="3" t="s">
        <v>269</v>
      </c>
      <c r="H38" s="3" t="s">
        <v>17</v>
      </c>
      <c r="I38" s="3" t="s">
        <v>93</v>
      </c>
      <c r="J38" s="3" t="s">
        <v>270</v>
      </c>
      <c r="K38" s="1"/>
      <c r="L38" s="3" t="s">
        <v>271</v>
      </c>
    </row>
    <row r="39" spans="1:12" ht="95" customHeight="1" x14ac:dyDescent="0.2">
      <c r="A39" s="1">
        <v>38</v>
      </c>
      <c r="B39" s="2" t="s">
        <v>272</v>
      </c>
      <c r="C39" s="1">
        <v>2019</v>
      </c>
      <c r="D39" s="3" t="s">
        <v>273</v>
      </c>
      <c r="E39" s="3" t="s">
        <v>274</v>
      </c>
      <c r="F39" s="3" t="s">
        <v>275</v>
      </c>
      <c r="G39" s="3" t="s">
        <v>276</v>
      </c>
      <c r="H39" s="3" t="s">
        <v>277</v>
      </c>
      <c r="I39" s="3" t="s">
        <v>18</v>
      </c>
      <c r="J39" s="3" t="s">
        <v>278</v>
      </c>
      <c r="K39" s="1"/>
      <c r="L39" s="3" t="s">
        <v>279</v>
      </c>
    </row>
    <row r="40" spans="1:12" ht="108" customHeight="1" x14ac:dyDescent="0.2">
      <c r="A40" s="1">
        <v>39</v>
      </c>
      <c r="B40" s="2" t="s">
        <v>280</v>
      </c>
      <c r="C40" s="1">
        <v>2019</v>
      </c>
      <c r="D40" s="3" t="s">
        <v>281</v>
      </c>
      <c r="E40" s="3" t="s">
        <v>282</v>
      </c>
      <c r="F40" s="3" t="s">
        <v>283</v>
      </c>
      <c r="G40" s="3" t="s">
        <v>284</v>
      </c>
      <c r="H40" s="3" t="s">
        <v>277</v>
      </c>
      <c r="I40" s="3" t="s">
        <v>18</v>
      </c>
      <c r="J40" s="3" t="s">
        <v>285</v>
      </c>
      <c r="K40" s="1"/>
      <c r="L40" s="3" t="s">
        <v>286</v>
      </c>
    </row>
    <row r="41" spans="1:12" ht="95" customHeight="1" x14ac:dyDescent="0.2">
      <c r="A41" s="1">
        <v>40</v>
      </c>
      <c r="B41" s="2" t="s">
        <v>287</v>
      </c>
      <c r="C41" s="1">
        <v>2020</v>
      </c>
      <c r="D41" s="3" t="s">
        <v>288</v>
      </c>
      <c r="E41" s="3" t="s">
        <v>289</v>
      </c>
      <c r="F41" s="3" t="s">
        <v>290</v>
      </c>
      <c r="G41" s="3" t="s">
        <v>291</v>
      </c>
      <c r="H41" s="3" t="s">
        <v>277</v>
      </c>
      <c r="I41" s="3" t="s">
        <v>93</v>
      </c>
      <c r="J41" s="3" t="s">
        <v>292</v>
      </c>
      <c r="K41" s="1"/>
      <c r="L41" s="3" t="s">
        <v>293</v>
      </c>
    </row>
    <row r="42" spans="1:12" ht="95" customHeight="1" x14ac:dyDescent="0.2">
      <c r="A42" s="1">
        <v>41</v>
      </c>
      <c r="B42" s="2" t="s">
        <v>73</v>
      </c>
      <c r="C42" s="1">
        <v>2020</v>
      </c>
      <c r="D42" s="3" t="s">
        <v>294</v>
      </c>
      <c r="E42" s="3" t="s">
        <v>295</v>
      </c>
      <c r="F42" s="3" t="s">
        <v>296</v>
      </c>
      <c r="G42" s="3" t="s">
        <v>297</v>
      </c>
      <c r="H42" s="3" t="s">
        <v>277</v>
      </c>
      <c r="I42" s="3" t="s">
        <v>18</v>
      </c>
      <c r="J42" s="3" t="s">
        <v>298</v>
      </c>
      <c r="K42" s="1"/>
      <c r="L42" s="3" t="s">
        <v>299</v>
      </c>
    </row>
    <row r="43" spans="1:12" ht="82" customHeight="1" x14ac:dyDescent="0.2">
      <c r="A43" s="1">
        <v>42</v>
      </c>
      <c r="B43" s="2" t="s">
        <v>300</v>
      </c>
      <c r="C43" s="1">
        <v>2021</v>
      </c>
      <c r="D43" s="3" t="s">
        <v>301</v>
      </c>
      <c r="E43" s="3" t="s">
        <v>302</v>
      </c>
      <c r="F43" s="3" t="s">
        <v>303</v>
      </c>
      <c r="G43" s="3" t="s">
        <v>304</v>
      </c>
      <c r="H43" s="3" t="s">
        <v>277</v>
      </c>
      <c r="I43" s="3" t="s">
        <v>18</v>
      </c>
      <c r="J43" s="3" t="s">
        <v>305</v>
      </c>
      <c r="K43" s="1"/>
      <c r="L43" s="3" t="s">
        <v>306</v>
      </c>
    </row>
    <row r="44" spans="1:12" ht="95" customHeight="1" x14ac:dyDescent="0.2">
      <c r="A44" s="1">
        <v>43</v>
      </c>
      <c r="B44" s="2" t="s">
        <v>307</v>
      </c>
      <c r="C44" s="1">
        <v>2021</v>
      </c>
      <c r="D44" s="3" t="s">
        <v>308</v>
      </c>
      <c r="E44" s="3" t="s">
        <v>309</v>
      </c>
      <c r="F44" s="3" t="s">
        <v>310</v>
      </c>
      <c r="G44" s="3" t="s">
        <v>311</v>
      </c>
      <c r="H44" s="3" t="s">
        <v>277</v>
      </c>
      <c r="I44" s="3" t="s">
        <v>18</v>
      </c>
      <c r="J44" s="3" t="s">
        <v>312</v>
      </c>
      <c r="K44" s="1"/>
      <c r="L44" s="3" t="s">
        <v>313</v>
      </c>
    </row>
    <row r="45" spans="1:12" ht="108" customHeight="1" x14ac:dyDescent="0.2">
      <c r="A45" s="1">
        <v>44</v>
      </c>
      <c r="B45" s="2" t="s">
        <v>314</v>
      </c>
      <c r="C45" s="1">
        <v>2021</v>
      </c>
      <c r="D45" s="3" t="s">
        <v>315</v>
      </c>
      <c r="E45" s="3" t="s">
        <v>316</v>
      </c>
      <c r="F45" s="3" t="s">
        <v>317</v>
      </c>
      <c r="G45" s="3" t="s">
        <v>318</v>
      </c>
      <c r="H45" s="3" t="s">
        <v>277</v>
      </c>
      <c r="I45" s="3" t="s">
        <v>34</v>
      </c>
      <c r="J45" s="3" t="s">
        <v>319</v>
      </c>
      <c r="K45" s="1" t="s">
        <v>27</v>
      </c>
      <c r="L45" s="3" t="s">
        <v>320</v>
      </c>
    </row>
    <row r="46" spans="1:12" ht="95" customHeight="1" x14ac:dyDescent="0.2">
      <c r="A46" s="1">
        <v>45</v>
      </c>
      <c r="B46" s="2" t="s">
        <v>321</v>
      </c>
      <c r="C46" s="1">
        <v>2022</v>
      </c>
      <c r="D46" s="3" t="s">
        <v>322</v>
      </c>
      <c r="E46" s="3" t="s">
        <v>323</v>
      </c>
      <c r="F46" s="3" t="s">
        <v>324</v>
      </c>
      <c r="G46" s="3" t="s">
        <v>325</v>
      </c>
      <c r="H46" s="3" t="s">
        <v>277</v>
      </c>
      <c r="I46" s="3" t="s">
        <v>18</v>
      </c>
      <c r="J46" s="3" t="s">
        <v>326</v>
      </c>
      <c r="K46" s="1"/>
      <c r="L46" s="3" t="s">
        <v>327</v>
      </c>
    </row>
    <row r="47" spans="1:12" ht="108" customHeight="1" x14ac:dyDescent="0.2">
      <c r="A47" s="1">
        <v>46</v>
      </c>
      <c r="B47" s="2" t="s">
        <v>328</v>
      </c>
      <c r="C47" s="1">
        <v>2023</v>
      </c>
      <c r="D47" s="3" t="s">
        <v>329</v>
      </c>
      <c r="E47" s="3" t="s">
        <v>330</v>
      </c>
      <c r="F47" s="3" t="s">
        <v>331</v>
      </c>
      <c r="G47" s="3" t="s">
        <v>332</v>
      </c>
      <c r="H47" s="3" t="s">
        <v>277</v>
      </c>
      <c r="I47" s="3" t="s">
        <v>34</v>
      </c>
      <c r="J47" s="3" t="s">
        <v>333</v>
      </c>
      <c r="K47" s="1"/>
      <c r="L47" s="3" t="s">
        <v>334</v>
      </c>
    </row>
    <row r="48" spans="1:12" ht="108" customHeight="1" x14ac:dyDescent="0.2">
      <c r="A48" s="1">
        <v>47</v>
      </c>
      <c r="B48" s="2" t="s">
        <v>335</v>
      </c>
      <c r="C48" s="1">
        <v>2024</v>
      </c>
      <c r="D48" s="3" t="s">
        <v>336</v>
      </c>
      <c r="E48" s="3" t="s">
        <v>337</v>
      </c>
      <c r="F48" s="3" t="s">
        <v>338</v>
      </c>
      <c r="G48" s="3" t="s">
        <v>339</v>
      </c>
      <c r="H48" s="3" t="s">
        <v>277</v>
      </c>
      <c r="I48" s="3" t="s">
        <v>93</v>
      </c>
      <c r="J48" s="3" t="s">
        <v>340</v>
      </c>
      <c r="K48" s="1"/>
      <c r="L48" s="3" t="s">
        <v>341</v>
      </c>
    </row>
    <row r="49" spans="1:12" ht="82" customHeight="1" x14ac:dyDescent="0.2">
      <c r="A49" s="1">
        <v>48</v>
      </c>
      <c r="B49" s="2" t="s">
        <v>342</v>
      </c>
      <c r="C49" s="1">
        <v>2024</v>
      </c>
      <c r="D49" s="3" t="s">
        <v>343</v>
      </c>
      <c r="E49" s="3" t="s">
        <v>344</v>
      </c>
      <c r="F49" s="3" t="s">
        <v>345</v>
      </c>
      <c r="G49" s="3" t="s">
        <v>346</v>
      </c>
      <c r="H49" s="3" t="s">
        <v>277</v>
      </c>
      <c r="I49" s="3" t="s">
        <v>18</v>
      </c>
      <c r="J49" s="3" t="s">
        <v>347</v>
      </c>
      <c r="K49" s="1"/>
      <c r="L49" s="3" t="s">
        <v>348</v>
      </c>
    </row>
    <row r="50" spans="1:12" ht="108" customHeight="1" x14ac:dyDescent="0.2">
      <c r="A50" s="1">
        <v>49</v>
      </c>
      <c r="B50" s="2" t="s">
        <v>349</v>
      </c>
      <c r="C50" s="1">
        <v>2025</v>
      </c>
      <c r="D50" s="3" t="s">
        <v>350</v>
      </c>
      <c r="E50" s="3" t="s">
        <v>351</v>
      </c>
      <c r="F50" s="3" t="s">
        <v>352</v>
      </c>
      <c r="G50" s="3" t="s">
        <v>353</v>
      </c>
      <c r="H50" s="3" t="s">
        <v>277</v>
      </c>
      <c r="I50" s="3" t="s">
        <v>18</v>
      </c>
      <c r="J50" s="3" t="s">
        <v>354</v>
      </c>
      <c r="K50" s="1"/>
      <c r="L50" s="3" t="s">
        <v>355</v>
      </c>
    </row>
    <row r="51" spans="1:12" ht="95" customHeight="1" x14ac:dyDescent="0.2">
      <c r="A51" s="1">
        <v>50</v>
      </c>
      <c r="B51" s="2" t="s">
        <v>44</v>
      </c>
      <c r="C51" s="1">
        <v>2025</v>
      </c>
      <c r="D51" s="3" t="s">
        <v>356</v>
      </c>
      <c r="E51" s="3" t="s">
        <v>357</v>
      </c>
      <c r="F51" s="3" t="s">
        <v>358</v>
      </c>
      <c r="G51" s="3" t="s">
        <v>359</v>
      </c>
      <c r="H51" s="3" t="s">
        <v>277</v>
      </c>
      <c r="I51" s="3" t="s">
        <v>34</v>
      </c>
      <c r="J51" s="3" t="s">
        <v>360</v>
      </c>
      <c r="K51" s="1"/>
      <c r="L51" s="3" t="s">
        <v>361</v>
      </c>
    </row>
    <row r="52" spans="1:12" ht="95" customHeight="1" x14ac:dyDescent="0.2">
      <c r="A52" s="1">
        <v>51</v>
      </c>
      <c r="B52" s="2" t="s">
        <v>362</v>
      </c>
      <c r="C52" s="1">
        <v>2026</v>
      </c>
      <c r="D52" s="3" t="s">
        <v>363</v>
      </c>
      <c r="E52" s="3" t="s">
        <v>364</v>
      </c>
      <c r="F52" s="3" t="s">
        <v>365</v>
      </c>
      <c r="G52" s="3" t="s">
        <v>366</v>
      </c>
      <c r="H52" s="3" t="s">
        <v>277</v>
      </c>
      <c r="I52" s="3" t="s">
        <v>18</v>
      </c>
      <c r="J52" s="3" t="s">
        <v>367</v>
      </c>
      <c r="K52" s="1"/>
      <c r="L52" s="3" t="s">
        <v>368</v>
      </c>
    </row>
    <row r="53" spans="1:12" ht="82" customHeight="1" x14ac:dyDescent="0.2">
      <c r="A53" s="1">
        <v>52</v>
      </c>
      <c r="B53" s="2" t="s">
        <v>369</v>
      </c>
      <c r="C53" s="1">
        <v>2026</v>
      </c>
      <c r="D53" s="3" t="s">
        <v>370</v>
      </c>
      <c r="E53" s="3" t="s">
        <v>371</v>
      </c>
      <c r="F53" s="3" t="s">
        <v>372</v>
      </c>
      <c r="G53" s="3" t="s">
        <v>373</v>
      </c>
      <c r="H53" s="3" t="s">
        <v>277</v>
      </c>
      <c r="I53" s="3" t="s">
        <v>18</v>
      </c>
      <c r="J53" s="3" t="s">
        <v>374</v>
      </c>
      <c r="K53" s="1"/>
      <c r="L53" s="3" t="s">
        <v>375</v>
      </c>
    </row>
    <row r="54" spans="1:12" ht="82" customHeight="1" x14ac:dyDescent="0.2">
      <c r="A54" s="1">
        <v>53</v>
      </c>
      <c r="B54" s="2" t="s">
        <v>376</v>
      </c>
      <c r="C54" s="1">
        <v>2012</v>
      </c>
      <c r="D54" s="3" t="s">
        <v>377</v>
      </c>
      <c r="E54" s="3" t="s">
        <v>378</v>
      </c>
      <c r="F54" s="3" t="s">
        <v>379</v>
      </c>
      <c r="G54" s="3" t="s">
        <v>380</v>
      </c>
      <c r="H54" s="3" t="s">
        <v>381</v>
      </c>
      <c r="I54" s="3" t="s">
        <v>34</v>
      </c>
      <c r="J54" s="3" t="s">
        <v>382</v>
      </c>
      <c r="K54" s="1"/>
      <c r="L54" s="3" t="s">
        <v>383</v>
      </c>
    </row>
    <row r="55" spans="1:12" ht="95" customHeight="1" x14ac:dyDescent="0.2">
      <c r="A55" s="1">
        <v>54</v>
      </c>
      <c r="B55" s="2" t="s">
        <v>384</v>
      </c>
      <c r="C55" s="1">
        <v>2013</v>
      </c>
      <c r="D55" s="3" t="s">
        <v>385</v>
      </c>
      <c r="E55" s="3" t="s">
        <v>386</v>
      </c>
      <c r="F55" s="3" t="s">
        <v>387</v>
      </c>
      <c r="G55" s="3" t="s">
        <v>388</v>
      </c>
      <c r="H55" s="3" t="s">
        <v>381</v>
      </c>
      <c r="I55" s="3" t="s">
        <v>34</v>
      </c>
      <c r="J55" s="3" t="s">
        <v>389</v>
      </c>
      <c r="K55" s="1"/>
      <c r="L55" s="3" t="s">
        <v>390</v>
      </c>
    </row>
    <row r="56" spans="1:12" ht="69" customHeight="1" x14ac:dyDescent="0.2">
      <c r="A56" s="1">
        <v>55</v>
      </c>
      <c r="B56" s="2" t="s">
        <v>391</v>
      </c>
      <c r="C56" s="1">
        <v>2019</v>
      </c>
      <c r="D56" s="3" t="s">
        <v>392</v>
      </c>
      <c r="E56" s="3" t="s">
        <v>393</v>
      </c>
      <c r="F56" s="3" t="s">
        <v>394</v>
      </c>
      <c r="G56" s="3" t="s">
        <v>395</v>
      </c>
      <c r="H56" s="3" t="s">
        <v>381</v>
      </c>
      <c r="I56" s="3" t="s">
        <v>93</v>
      </c>
      <c r="J56" s="3" t="s">
        <v>396</v>
      </c>
      <c r="K56" s="1"/>
      <c r="L56" s="3" t="s">
        <v>397</v>
      </c>
    </row>
    <row r="57" spans="1:12" ht="108" customHeight="1" x14ac:dyDescent="0.2">
      <c r="A57" s="1">
        <v>56</v>
      </c>
      <c r="B57" s="2" t="s">
        <v>398</v>
      </c>
      <c r="C57" s="1">
        <v>2020</v>
      </c>
      <c r="D57" s="3" t="s">
        <v>399</v>
      </c>
      <c r="E57" s="3" t="s">
        <v>400</v>
      </c>
      <c r="F57" s="3" t="s">
        <v>401</v>
      </c>
      <c r="G57" s="3" t="s">
        <v>402</v>
      </c>
      <c r="H57" s="3" t="s">
        <v>381</v>
      </c>
      <c r="I57" s="3" t="s">
        <v>18</v>
      </c>
      <c r="J57" s="3" t="s">
        <v>403</v>
      </c>
      <c r="K57" s="1"/>
      <c r="L57" s="3" t="s">
        <v>404</v>
      </c>
    </row>
    <row r="58" spans="1:12" ht="108" customHeight="1" x14ac:dyDescent="0.2">
      <c r="A58" s="1">
        <v>57</v>
      </c>
      <c r="B58" s="2" t="s">
        <v>405</v>
      </c>
      <c r="C58" s="1">
        <v>2020</v>
      </c>
      <c r="D58" s="3" t="s">
        <v>406</v>
      </c>
      <c r="E58" s="3" t="s">
        <v>407</v>
      </c>
      <c r="F58" s="3" t="s">
        <v>408</v>
      </c>
      <c r="G58" s="3" t="s">
        <v>409</v>
      </c>
      <c r="H58" s="3" t="s">
        <v>381</v>
      </c>
      <c r="I58" s="3" t="s">
        <v>93</v>
      </c>
      <c r="J58" s="3" t="s">
        <v>410</v>
      </c>
      <c r="K58" s="1"/>
      <c r="L58" s="3" t="s">
        <v>411</v>
      </c>
    </row>
    <row r="59" spans="1:12" ht="69" customHeight="1" x14ac:dyDescent="0.2">
      <c r="A59" s="1">
        <v>58</v>
      </c>
      <c r="B59" s="2" t="s">
        <v>412</v>
      </c>
      <c r="C59" s="1">
        <v>2021</v>
      </c>
      <c r="D59" s="3" t="s">
        <v>413</v>
      </c>
      <c r="E59" s="3" t="s">
        <v>414</v>
      </c>
      <c r="F59" s="3" t="s">
        <v>415</v>
      </c>
      <c r="G59" s="3" t="s">
        <v>416</v>
      </c>
      <c r="H59" s="3" t="s">
        <v>381</v>
      </c>
      <c r="I59" s="3" t="s">
        <v>34</v>
      </c>
      <c r="J59" s="3" t="s">
        <v>417</v>
      </c>
      <c r="K59" s="1"/>
      <c r="L59" s="3" t="s">
        <v>418</v>
      </c>
    </row>
    <row r="60" spans="1:12" ht="108" customHeight="1" x14ac:dyDescent="0.2">
      <c r="A60" s="1">
        <v>59</v>
      </c>
      <c r="B60" s="2" t="s">
        <v>419</v>
      </c>
      <c r="C60" s="1">
        <v>2021</v>
      </c>
      <c r="D60" s="3" t="s">
        <v>420</v>
      </c>
      <c r="E60" s="3" t="s">
        <v>421</v>
      </c>
      <c r="F60" s="3" t="s">
        <v>422</v>
      </c>
      <c r="G60" s="3" t="s">
        <v>423</v>
      </c>
      <c r="H60" s="3" t="s">
        <v>381</v>
      </c>
      <c r="I60" s="3" t="s">
        <v>18</v>
      </c>
      <c r="J60" s="3" t="s">
        <v>424</v>
      </c>
      <c r="K60" s="1"/>
      <c r="L60" s="3" t="s">
        <v>425</v>
      </c>
    </row>
    <row r="61" spans="1:12" ht="95" customHeight="1" x14ac:dyDescent="0.2">
      <c r="A61" s="1">
        <v>60</v>
      </c>
      <c r="B61" s="2" t="s">
        <v>426</v>
      </c>
      <c r="C61" s="1">
        <v>2022</v>
      </c>
      <c r="D61" s="3" t="s">
        <v>427</v>
      </c>
      <c r="E61" s="3" t="s">
        <v>428</v>
      </c>
      <c r="F61" s="3" t="s">
        <v>429</v>
      </c>
      <c r="G61" s="3" t="s">
        <v>430</v>
      </c>
      <c r="H61" s="3" t="s">
        <v>381</v>
      </c>
      <c r="I61" s="3" t="s">
        <v>18</v>
      </c>
      <c r="J61" s="3" t="s">
        <v>431</v>
      </c>
      <c r="K61" s="1"/>
      <c r="L61" s="3" t="s">
        <v>432</v>
      </c>
    </row>
    <row r="62" spans="1:12" ht="108" customHeight="1" x14ac:dyDescent="0.2">
      <c r="A62" s="1">
        <v>61</v>
      </c>
      <c r="B62" s="2" t="s">
        <v>426</v>
      </c>
      <c r="C62" s="1">
        <v>2022</v>
      </c>
      <c r="D62" s="3" t="s">
        <v>433</v>
      </c>
      <c r="E62" s="3" t="s">
        <v>434</v>
      </c>
      <c r="F62" s="3" t="s">
        <v>435</v>
      </c>
      <c r="G62" s="3" t="s">
        <v>436</v>
      </c>
      <c r="H62" s="3" t="s">
        <v>381</v>
      </c>
      <c r="I62" s="3" t="s">
        <v>18</v>
      </c>
      <c r="J62" s="3" t="s">
        <v>437</v>
      </c>
      <c r="K62" s="1"/>
      <c r="L62" s="3" t="s">
        <v>438</v>
      </c>
    </row>
    <row r="63" spans="1:12" ht="95" customHeight="1" x14ac:dyDescent="0.2">
      <c r="A63" s="1">
        <v>62</v>
      </c>
      <c r="B63" s="2" t="s">
        <v>439</v>
      </c>
      <c r="C63" s="1">
        <v>2022</v>
      </c>
      <c r="D63" s="3" t="s">
        <v>440</v>
      </c>
      <c r="E63" s="3" t="s">
        <v>441</v>
      </c>
      <c r="F63" s="3" t="s">
        <v>442</v>
      </c>
      <c r="G63" s="3" t="s">
        <v>443</v>
      </c>
      <c r="H63" s="3" t="s">
        <v>381</v>
      </c>
      <c r="I63" s="3" t="s">
        <v>18</v>
      </c>
      <c r="J63" s="3" t="s">
        <v>444</v>
      </c>
      <c r="K63" s="1"/>
      <c r="L63" s="3" t="s">
        <v>445</v>
      </c>
    </row>
    <row r="64" spans="1:12" ht="82" customHeight="1" x14ac:dyDescent="0.2">
      <c r="A64" s="1">
        <v>63</v>
      </c>
      <c r="B64" s="2" t="s">
        <v>44</v>
      </c>
      <c r="C64" s="1">
        <v>2022</v>
      </c>
      <c r="D64" s="3" t="s">
        <v>446</v>
      </c>
      <c r="E64" s="3" t="s">
        <v>447</v>
      </c>
      <c r="F64" s="3" t="s">
        <v>448</v>
      </c>
      <c r="G64" s="3" t="s">
        <v>449</v>
      </c>
      <c r="H64" s="3" t="s">
        <v>381</v>
      </c>
      <c r="I64" s="3" t="s">
        <v>18</v>
      </c>
      <c r="J64" s="3" t="s">
        <v>450</v>
      </c>
      <c r="K64" s="1"/>
      <c r="L64" s="3" t="s">
        <v>451</v>
      </c>
    </row>
    <row r="65" spans="1:12" ht="82" customHeight="1" x14ac:dyDescent="0.2">
      <c r="A65" s="1">
        <v>64</v>
      </c>
      <c r="B65" s="2" t="s">
        <v>452</v>
      </c>
      <c r="C65" s="1">
        <v>2022</v>
      </c>
      <c r="D65" s="3" t="s">
        <v>453</v>
      </c>
      <c r="E65" s="3" t="s">
        <v>454</v>
      </c>
      <c r="F65" s="3" t="s">
        <v>455</v>
      </c>
      <c r="G65" s="3" t="s">
        <v>456</v>
      </c>
      <c r="H65" s="3" t="s">
        <v>381</v>
      </c>
      <c r="I65" s="3" t="s">
        <v>18</v>
      </c>
      <c r="J65" s="3" t="s">
        <v>457</v>
      </c>
      <c r="K65" s="1"/>
      <c r="L65" s="3" t="s">
        <v>458</v>
      </c>
    </row>
    <row r="66" spans="1:12" ht="121" customHeight="1" x14ac:dyDescent="0.2">
      <c r="A66" s="1">
        <v>65</v>
      </c>
      <c r="B66" s="2" t="s">
        <v>459</v>
      </c>
      <c r="C66" s="1">
        <v>2023</v>
      </c>
      <c r="D66" s="3" t="s">
        <v>460</v>
      </c>
      <c r="E66" s="3" t="s">
        <v>461</v>
      </c>
      <c r="F66" s="3" t="s">
        <v>462</v>
      </c>
      <c r="G66" s="3" t="s">
        <v>463</v>
      </c>
      <c r="H66" s="3" t="s">
        <v>381</v>
      </c>
      <c r="I66" s="3" t="s">
        <v>18</v>
      </c>
      <c r="J66" s="3" t="s">
        <v>464</v>
      </c>
      <c r="K66" s="1"/>
      <c r="L66" s="3" t="s">
        <v>465</v>
      </c>
    </row>
    <row r="67" spans="1:12" ht="121" customHeight="1" x14ac:dyDescent="0.2">
      <c r="A67" s="1">
        <v>66</v>
      </c>
      <c r="B67" s="2" t="s">
        <v>439</v>
      </c>
      <c r="C67" s="1">
        <v>2024</v>
      </c>
      <c r="D67" s="3" t="s">
        <v>466</v>
      </c>
      <c r="E67" s="3" t="s">
        <v>467</v>
      </c>
      <c r="F67" s="3" t="s">
        <v>468</v>
      </c>
      <c r="G67" s="3" t="s">
        <v>469</v>
      </c>
      <c r="H67" s="3" t="s">
        <v>381</v>
      </c>
      <c r="I67" s="3" t="s">
        <v>18</v>
      </c>
      <c r="J67" s="3" t="s">
        <v>470</v>
      </c>
      <c r="K67" s="1"/>
      <c r="L67" s="3" t="s">
        <v>471</v>
      </c>
    </row>
    <row r="68" spans="1:12" ht="95" customHeight="1" x14ac:dyDescent="0.2">
      <c r="A68" s="1">
        <v>67</v>
      </c>
      <c r="B68" s="2" t="s">
        <v>472</v>
      </c>
      <c r="C68" s="1">
        <v>2024</v>
      </c>
      <c r="D68" s="3" t="s">
        <v>473</v>
      </c>
      <c r="E68" s="3" t="s">
        <v>474</v>
      </c>
      <c r="F68" s="3" t="s">
        <v>475</v>
      </c>
      <c r="G68" s="3" t="s">
        <v>476</v>
      </c>
      <c r="H68" s="3" t="s">
        <v>381</v>
      </c>
      <c r="I68" s="3" t="s">
        <v>18</v>
      </c>
      <c r="J68" s="3" t="s">
        <v>477</v>
      </c>
      <c r="K68" s="1"/>
      <c r="L68" s="3" t="s">
        <v>478</v>
      </c>
    </row>
    <row r="69" spans="1:12" ht="95" customHeight="1" x14ac:dyDescent="0.2">
      <c r="A69" s="1">
        <v>68</v>
      </c>
      <c r="B69" s="2" t="s">
        <v>479</v>
      </c>
      <c r="C69" s="1">
        <v>2024</v>
      </c>
      <c r="D69" s="3" t="s">
        <v>480</v>
      </c>
      <c r="E69" s="3" t="s">
        <v>481</v>
      </c>
      <c r="F69" s="3" t="s">
        <v>482</v>
      </c>
      <c r="G69" s="3" t="s">
        <v>483</v>
      </c>
      <c r="H69" s="3" t="s">
        <v>381</v>
      </c>
      <c r="I69" s="3" t="s">
        <v>18</v>
      </c>
      <c r="J69" s="3" t="s">
        <v>484</v>
      </c>
      <c r="K69" s="1"/>
      <c r="L69" s="3" t="s">
        <v>485</v>
      </c>
    </row>
    <row r="70" spans="1:12" ht="95" customHeight="1" x14ac:dyDescent="0.2">
      <c r="A70" s="1">
        <v>69</v>
      </c>
      <c r="B70" s="2" t="s">
        <v>452</v>
      </c>
      <c r="C70" s="1">
        <v>2024</v>
      </c>
      <c r="D70" s="3" t="s">
        <v>486</v>
      </c>
      <c r="E70" s="3" t="s">
        <v>487</v>
      </c>
      <c r="F70" s="3" t="s">
        <v>488</v>
      </c>
      <c r="G70" s="3" t="s">
        <v>489</v>
      </c>
      <c r="H70" s="3" t="s">
        <v>381</v>
      </c>
      <c r="I70" s="3" t="s">
        <v>18</v>
      </c>
      <c r="J70" s="3" t="s">
        <v>490</v>
      </c>
      <c r="K70" s="1"/>
      <c r="L70" s="3" t="s">
        <v>491</v>
      </c>
    </row>
    <row r="71" spans="1:12" ht="82" customHeight="1" x14ac:dyDescent="0.2">
      <c r="A71" s="1">
        <v>70</v>
      </c>
      <c r="B71" s="2" t="s">
        <v>492</v>
      </c>
      <c r="C71" s="1">
        <v>2025</v>
      </c>
      <c r="D71" s="3" t="s">
        <v>493</v>
      </c>
      <c r="E71" s="3" t="s">
        <v>494</v>
      </c>
      <c r="F71" s="3" t="s">
        <v>495</v>
      </c>
      <c r="G71" s="3" t="s">
        <v>496</v>
      </c>
      <c r="H71" s="3" t="s">
        <v>381</v>
      </c>
      <c r="I71" s="3" t="s">
        <v>18</v>
      </c>
      <c r="J71" s="3" t="s">
        <v>497</v>
      </c>
      <c r="K71" s="1"/>
      <c r="L71" s="3" t="s">
        <v>498</v>
      </c>
    </row>
    <row r="72" spans="1:12" ht="95" customHeight="1" x14ac:dyDescent="0.2">
      <c r="A72" s="1">
        <v>71</v>
      </c>
      <c r="B72" s="2" t="s">
        <v>321</v>
      </c>
      <c r="C72" s="1">
        <v>2025</v>
      </c>
      <c r="D72" s="3" t="s">
        <v>499</v>
      </c>
      <c r="E72" s="3" t="s">
        <v>500</v>
      </c>
      <c r="F72" s="3" t="s">
        <v>501</v>
      </c>
      <c r="G72" s="3" t="s">
        <v>502</v>
      </c>
      <c r="H72" s="3" t="s">
        <v>381</v>
      </c>
      <c r="I72" s="3" t="s">
        <v>93</v>
      </c>
      <c r="J72" s="3" t="s">
        <v>503</v>
      </c>
      <c r="K72" s="1"/>
      <c r="L72" s="3" t="s">
        <v>504</v>
      </c>
    </row>
    <row r="73" spans="1:12" ht="95" customHeight="1" x14ac:dyDescent="0.2">
      <c r="A73" s="1">
        <v>72</v>
      </c>
      <c r="B73" s="2" t="s">
        <v>505</v>
      </c>
      <c r="C73" s="1">
        <v>2019</v>
      </c>
      <c r="D73" s="3" t="s">
        <v>506</v>
      </c>
      <c r="E73" s="3" t="s">
        <v>507</v>
      </c>
      <c r="F73" s="3" t="s">
        <v>508</v>
      </c>
      <c r="G73" s="3" t="s">
        <v>509</v>
      </c>
      <c r="H73" s="3" t="s">
        <v>510</v>
      </c>
      <c r="I73" s="3" t="s">
        <v>18</v>
      </c>
      <c r="J73" s="3" t="s">
        <v>511</v>
      </c>
      <c r="K73" s="1"/>
      <c r="L73" s="3" t="s">
        <v>512</v>
      </c>
    </row>
    <row r="74" spans="1:12" ht="95" customHeight="1" x14ac:dyDescent="0.2">
      <c r="A74" s="1">
        <v>73</v>
      </c>
      <c r="B74" s="2" t="s">
        <v>513</v>
      </c>
      <c r="C74" s="1">
        <v>2020</v>
      </c>
      <c r="D74" s="3" t="s">
        <v>514</v>
      </c>
      <c r="E74" s="3" t="s">
        <v>515</v>
      </c>
      <c r="F74" s="3" t="s">
        <v>516</v>
      </c>
      <c r="G74" s="3" t="s">
        <v>517</v>
      </c>
      <c r="H74" s="3" t="s">
        <v>510</v>
      </c>
      <c r="I74" s="3" t="s">
        <v>18</v>
      </c>
      <c r="J74" s="3" t="s">
        <v>518</v>
      </c>
      <c r="K74" s="1"/>
      <c r="L74" s="3" t="s">
        <v>519</v>
      </c>
    </row>
    <row r="75" spans="1:12" ht="95" customHeight="1" x14ac:dyDescent="0.2">
      <c r="A75" s="1">
        <v>74</v>
      </c>
      <c r="B75" s="2" t="s">
        <v>513</v>
      </c>
      <c r="C75" s="1">
        <v>2020</v>
      </c>
      <c r="D75" s="3" t="s">
        <v>520</v>
      </c>
      <c r="E75" s="3" t="s">
        <v>521</v>
      </c>
      <c r="F75" s="3" t="s">
        <v>522</v>
      </c>
      <c r="G75" s="3" t="s">
        <v>523</v>
      </c>
      <c r="H75" s="3" t="s">
        <v>510</v>
      </c>
      <c r="I75" s="3" t="s">
        <v>93</v>
      </c>
      <c r="J75" s="3" t="s">
        <v>524</v>
      </c>
      <c r="K75" s="1"/>
      <c r="L75" s="3" t="s">
        <v>525</v>
      </c>
    </row>
    <row r="76" spans="1:12" ht="108" customHeight="1" x14ac:dyDescent="0.2">
      <c r="A76" s="1">
        <v>75</v>
      </c>
      <c r="B76" s="2" t="s">
        <v>505</v>
      </c>
      <c r="C76" s="1">
        <v>2020</v>
      </c>
      <c r="D76" s="3" t="s">
        <v>526</v>
      </c>
      <c r="E76" s="3" t="s">
        <v>527</v>
      </c>
      <c r="F76" s="3" t="s">
        <v>528</v>
      </c>
      <c r="G76" s="3" t="s">
        <v>529</v>
      </c>
      <c r="H76" s="3" t="s">
        <v>510</v>
      </c>
      <c r="I76" s="3" t="s">
        <v>18</v>
      </c>
      <c r="J76" s="3" t="s">
        <v>530</v>
      </c>
      <c r="K76" s="1"/>
      <c r="L76" s="3" t="s">
        <v>531</v>
      </c>
    </row>
    <row r="77" spans="1:12" ht="95" customHeight="1" x14ac:dyDescent="0.2">
      <c r="A77" s="1">
        <v>76</v>
      </c>
      <c r="B77" s="2" t="s">
        <v>532</v>
      </c>
      <c r="C77" s="1">
        <v>2020</v>
      </c>
      <c r="D77" s="3" t="s">
        <v>533</v>
      </c>
      <c r="E77" s="3" t="s">
        <v>534</v>
      </c>
      <c r="F77" s="3" t="s">
        <v>535</v>
      </c>
      <c r="G77" s="3" t="s">
        <v>536</v>
      </c>
      <c r="H77" s="3" t="s">
        <v>510</v>
      </c>
      <c r="I77" s="3" t="s">
        <v>18</v>
      </c>
      <c r="J77" s="3" t="s">
        <v>537</v>
      </c>
      <c r="K77" s="1" t="s">
        <v>27</v>
      </c>
      <c r="L77" s="3" t="s">
        <v>538</v>
      </c>
    </row>
    <row r="78" spans="1:12" ht="95" customHeight="1" x14ac:dyDescent="0.2">
      <c r="A78" s="1">
        <v>77</v>
      </c>
      <c r="B78" s="2" t="s">
        <v>539</v>
      </c>
      <c r="C78" s="1">
        <v>2021</v>
      </c>
      <c r="D78" s="3" t="s">
        <v>540</v>
      </c>
      <c r="E78" s="3" t="s">
        <v>541</v>
      </c>
      <c r="F78" s="3" t="s">
        <v>542</v>
      </c>
      <c r="G78" s="3" t="s">
        <v>543</v>
      </c>
      <c r="H78" s="3" t="s">
        <v>510</v>
      </c>
      <c r="I78" s="3" t="s">
        <v>93</v>
      </c>
      <c r="J78" s="3" t="s">
        <v>544</v>
      </c>
      <c r="K78" s="1"/>
      <c r="L78" s="3" t="s">
        <v>545</v>
      </c>
    </row>
    <row r="79" spans="1:12" ht="82" customHeight="1" x14ac:dyDescent="0.2">
      <c r="A79" s="1">
        <v>78</v>
      </c>
      <c r="B79" s="2" t="s">
        <v>505</v>
      </c>
      <c r="C79" s="1">
        <v>2021</v>
      </c>
      <c r="D79" s="3" t="s">
        <v>546</v>
      </c>
      <c r="E79" s="3" t="s">
        <v>547</v>
      </c>
      <c r="F79" s="3" t="s">
        <v>548</v>
      </c>
      <c r="G79" s="3" t="s">
        <v>549</v>
      </c>
      <c r="H79" s="3" t="s">
        <v>510</v>
      </c>
      <c r="I79" s="3" t="s">
        <v>34</v>
      </c>
      <c r="J79" s="3" t="s">
        <v>550</v>
      </c>
      <c r="K79" s="1"/>
      <c r="L79" s="3" t="s">
        <v>551</v>
      </c>
    </row>
    <row r="80" spans="1:12" ht="82" customHeight="1" x14ac:dyDescent="0.2">
      <c r="A80" s="1">
        <v>79</v>
      </c>
      <c r="B80" s="2" t="s">
        <v>505</v>
      </c>
      <c r="C80" s="1">
        <v>2021</v>
      </c>
      <c r="D80" s="3" t="s">
        <v>552</v>
      </c>
      <c r="E80" s="3" t="s">
        <v>553</v>
      </c>
      <c r="F80" s="3" t="s">
        <v>554</v>
      </c>
      <c r="G80" s="3" t="s">
        <v>555</v>
      </c>
      <c r="H80" s="3" t="s">
        <v>510</v>
      </c>
      <c r="I80" s="3" t="s">
        <v>18</v>
      </c>
      <c r="J80" s="3" t="s">
        <v>556</v>
      </c>
      <c r="K80" s="1"/>
      <c r="L80" s="3" t="s">
        <v>557</v>
      </c>
    </row>
    <row r="81" spans="1:12" ht="82" customHeight="1" x14ac:dyDescent="0.2">
      <c r="A81" s="1">
        <v>80</v>
      </c>
      <c r="B81" s="2" t="s">
        <v>558</v>
      </c>
      <c r="C81" s="1">
        <v>2021</v>
      </c>
      <c r="D81" s="3" t="s">
        <v>559</v>
      </c>
      <c r="E81" s="3" t="s">
        <v>560</v>
      </c>
      <c r="F81" s="3" t="s">
        <v>561</v>
      </c>
      <c r="G81" s="3" t="s">
        <v>562</v>
      </c>
      <c r="H81" s="3" t="s">
        <v>510</v>
      </c>
      <c r="I81" s="3" t="s">
        <v>93</v>
      </c>
      <c r="J81" s="3" t="s">
        <v>563</v>
      </c>
      <c r="K81" s="1"/>
      <c r="L81" s="3" t="s">
        <v>564</v>
      </c>
    </row>
    <row r="82" spans="1:12" ht="82" customHeight="1" x14ac:dyDescent="0.2">
      <c r="A82" s="1">
        <v>81</v>
      </c>
      <c r="B82" s="2" t="s">
        <v>565</v>
      </c>
      <c r="C82" s="1">
        <v>2022</v>
      </c>
      <c r="D82" s="3" t="s">
        <v>566</v>
      </c>
      <c r="E82" s="3" t="s">
        <v>567</v>
      </c>
      <c r="F82" s="3" t="s">
        <v>568</v>
      </c>
      <c r="G82" s="3" t="s">
        <v>569</v>
      </c>
      <c r="H82" s="3" t="s">
        <v>510</v>
      </c>
      <c r="I82" s="3" t="s">
        <v>93</v>
      </c>
      <c r="J82" s="3" t="s">
        <v>570</v>
      </c>
      <c r="K82" s="1"/>
      <c r="L82" s="3" t="s">
        <v>571</v>
      </c>
    </row>
    <row r="83" spans="1:12" ht="108" customHeight="1" x14ac:dyDescent="0.2">
      <c r="A83" s="1">
        <v>82</v>
      </c>
      <c r="B83" s="2" t="s">
        <v>572</v>
      </c>
      <c r="C83" s="1">
        <v>2022</v>
      </c>
      <c r="D83" s="3" t="s">
        <v>573</v>
      </c>
      <c r="E83" s="3" t="s">
        <v>574</v>
      </c>
      <c r="F83" s="3" t="s">
        <v>575</v>
      </c>
      <c r="G83" s="3" t="s">
        <v>576</v>
      </c>
      <c r="H83" s="3" t="s">
        <v>510</v>
      </c>
      <c r="I83" s="3" t="s">
        <v>18</v>
      </c>
      <c r="J83" s="3" t="s">
        <v>577</v>
      </c>
      <c r="K83" s="1"/>
      <c r="L83" s="3" t="s">
        <v>578</v>
      </c>
    </row>
    <row r="84" spans="1:12" ht="95" customHeight="1" x14ac:dyDescent="0.2">
      <c r="A84" s="1">
        <v>83</v>
      </c>
      <c r="B84" s="2" t="s">
        <v>505</v>
      </c>
      <c r="C84" s="1">
        <v>2022</v>
      </c>
      <c r="D84" s="3" t="s">
        <v>579</v>
      </c>
      <c r="E84" s="3" t="s">
        <v>580</v>
      </c>
      <c r="F84" s="3" t="s">
        <v>581</v>
      </c>
      <c r="G84" s="3" t="s">
        <v>582</v>
      </c>
      <c r="H84" s="3" t="s">
        <v>510</v>
      </c>
      <c r="I84" s="3" t="s">
        <v>18</v>
      </c>
      <c r="J84" s="3" t="s">
        <v>583</v>
      </c>
      <c r="K84" s="1"/>
      <c r="L84" s="3" t="s">
        <v>584</v>
      </c>
    </row>
    <row r="85" spans="1:12" ht="82" customHeight="1" x14ac:dyDescent="0.2">
      <c r="A85" s="1">
        <v>84</v>
      </c>
      <c r="B85" s="2" t="s">
        <v>178</v>
      </c>
      <c r="C85" s="1">
        <v>2022</v>
      </c>
      <c r="D85" s="3" t="s">
        <v>585</v>
      </c>
      <c r="E85" s="3" t="s">
        <v>586</v>
      </c>
      <c r="F85" s="3" t="s">
        <v>587</v>
      </c>
      <c r="G85" s="3" t="s">
        <v>588</v>
      </c>
      <c r="H85" s="3" t="s">
        <v>510</v>
      </c>
      <c r="I85" s="3" t="s">
        <v>18</v>
      </c>
      <c r="J85" s="3" t="s">
        <v>589</v>
      </c>
      <c r="K85" s="1"/>
      <c r="L85" s="3" t="s">
        <v>590</v>
      </c>
    </row>
    <row r="86" spans="1:12" ht="82" customHeight="1" x14ac:dyDescent="0.2">
      <c r="A86" s="1">
        <v>85</v>
      </c>
      <c r="B86" s="2" t="s">
        <v>591</v>
      </c>
      <c r="C86" s="1">
        <v>2023</v>
      </c>
      <c r="D86" s="3" t="s">
        <v>592</v>
      </c>
      <c r="E86" s="3" t="s">
        <v>593</v>
      </c>
      <c r="F86" s="3" t="s">
        <v>594</v>
      </c>
      <c r="G86" s="3" t="s">
        <v>595</v>
      </c>
      <c r="H86" s="3" t="s">
        <v>510</v>
      </c>
      <c r="I86" s="3" t="s">
        <v>93</v>
      </c>
      <c r="J86" s="3" t="s">
        <v>596</v>
      </c>
      <c r="K86" s="1"/>
      <c r="L86" s="3" t="s">
        <v>597</v>
      </c>
    </row>
    <row r="87" spans="1:12" ht="82" customHeight="1" x14ac:dyDescent="0.2">
      <c r="A87" s="1">
        <v>86</v>
      </c>
      <c r="B87" s="2" t="s">
        <v>598</v>
      </c>
      <c r="C87" s="1">
        <v>2023</v>
      </c>
      <c r="D87" s="3" t="s">
        <v>599</v>
      </c>
      <c r="E87" s="3" t="s">
        <v>600</v>
      </c>
      <c r="F87" s="3" t="s">
        <v>601</v>
      </c>
      <c r="G87" s="3" t="s">
        <v>602</v>
      </c>
      <c r="H87" s="3" t="s">
        <v>510</v>
      </c>
      <c r="I87" s="3" t="s">
        <v>18</v>
      </c>
      <c r="J87" s="3" t="s">
        <v>603</v>
      </c>
      <c r="K87" s="1"/>
      <c r="L87" s="3" t="s">
        <v>604</v>
      </c>
    </row>
    <row r="88" spans="1:12" ht="95" customHeight="1" x14ac:dyDescent="0.2">
      <c r="A88" s="1">
        <v>87</v>
      </c>
      <c r="B88" s="2" t="s">
        <v>605</v>
      </c>
      <c r="C88" s="1">
        <v>2023</v>
      </c>
      <c r="D88" s="3" t="s">
        <v>606</v>
      </c>
      <c r="E88" s="3" t="s">
        <v>607</v>
      </c>
      <c r="F88" s="3" t="s">
        <v>608</v>
      </c>
      <c r="G88" s="3" t="s">
        <v>609</v>
      </c>
      <c r="H88" s="3" t="s">
        <v>510</v>
      </c>
      <c r="I88" s="3" t="s">
        <v>34</v>
      </c>
      <c r="J88" s="3" t="s">
        <v>610</v>
      </c>
      <c r="K88" s="1"/>
      <c r="L88" s="3" t="s">
        <v>611</v>
      </c>
    </row>
    <row r="89" spans="1:12" ht="69" customHeight="1" x14ac:dyDescent="0.2">
      <c r="A89" s="1">
        <v>88</v>
      </c>
      <c r="B89" s="2" t="s">
        <v>605</v>
      </c>
      <c r="C89" s="1">
        <v>2023</v>
      </c>
      <c r="D89" s="3" t="s">
        <v>612</v>
      </c>
      <c r="E89" s="3" t="s">
        <v>613</v>
      </c>
      <c r="F89" s="3" t="s">
        <v>614</v>
      </c>
      <c r="G89" s="3" t="s">
        <v>615</v>
      </c>
      <c r="H89" s="3" t="s">
        <v>510</v>
      </c>
      <c r="I89" s="3" t="s">
        <v>34</v>
      </c>
      <c r="J89" s="3" t="s">
        <v>616</v>
      </c>
      <c r="K89" s="1"/>
      <c r="L89" s="3" t="s">
        <v>617</v>
      </c>
    </row>
    <row r="90" spans="1:12" ht="82" customHeight="1" x14ac:dyDescent="0.2">
      <c r="A90" s="1">
        <v>89</v>
      </c>
      <c r="B90" s="2" t="s">
        <v>618</v>
      </c>
      <c r="C90" s="1">
        <v>2023</v>
      </c>
      <c r="D90" s="3" t="s">
        <v>619</v>
      </c>
      <c r="E90" s="3" t="s">
        <v>620</v>
      </c>
      <c r="F90" s="3" t="s">
        <v>621</v>
      </c>
      <c r="G90" s="3" t="s">
        <v>622</v>
      </c>
      <c r="H90" s="3" t="s">
        <v>510</v>
      </c>
      <c r="I90" s="3" t="s">
        <v>18</v>
      </c>
      <c r="J90" s="3" t="s">
        <v>623</v>
      </c>
      <c r="K90" s="1"/>
      <c r="L90" s="3" t="s">
        <v>624</v>
      </c>
    </row>
    <row r="91" spans="1:12" ht="108" customHeight="1" x14ac:dyDescent="0.2">
      <c r="A91" s="1">
        <v>90</v>
      </c>
      <c r="B91" s="2" t="s">
        <v>625</v>
      </c>
      <c r="C91" s="1">
        <v>2023</v>
      </c>
      <c r="D91" s="3" t="s">
        <v>626</v>
      </c>
      <c r="E91" s="3" t="s">
        <v>627</v>
      </c>
      <c r="F91" s="3" t="s">
        <v>628</v>
      </c>
      <c r="G91" s="3" t="s">
        <v>629</v>
      </c>
      <c r="H91" s="3" t="s">
        <v>510</v>
      </c>
      <c r="I91" s="3" t="s">
        <v>93</v>
      </c>
      <c r="J91" s="3" t="s">
        <v>630</v>
      </c>
      <c r="K91" s="1"/>
      <c r="L91" s="3" t="s">
        <v>631</v>
      </c>
    </row>
    <row r="92" spans="1:12" ht="82" customHeight="1" x14ac:dyDescent="0.2">
      <c r="A92" s="1">
        <v>91</v>
      </c>
      <c r="B92" s="2" t="s">
        <v>632</v>
      </c>
      <c r="C92" s="1">
        <v>2023</v>
      </c>
      <c r="D92" s="3" t="s">
        <v>633</v>
      </c>
      <c r="E92" s="3" t="s">
        <v>634</v>
      </c>
      <c r="F92" s="3" t="s">
        <v>635</v>
      </c>
      <c r="G92" s="3" t="s">
        <v>636</v>
      </c>
      <c r="H92" s="3" t="s">
        <v>510</v>
      </c>
      <c r="I92" s="3" t="s">
        <v>18</v>
      </c>
      <c r="J92" s="3" t="s">
        <v>637</v>
      </c>
      <c r="K92" s="1" t="s">
        <v>27</v>
      </c>
      <c r="L92" s="3" t="s">
        <v>638</v>
      </c>
    </row>
    <row r="93" spans="1:12" ht="95" customHeight="1" x14ac:dyDescent="0.2">
      <c r="A93" s="1">
        <v>92</v>
      </c>
      <c r="B93" s="2" t="s">
        <v>505</v>
      </c>
      <c r="C93" s="1">
        <v>2023</v>
      </c>
      <c r="D93" s="3" t="s">
        <v>639</v>
      </c>
      <c r="E93" s="3" t="s">
        <v>640</v>
      </c>
      <c r="F93" s="3" t="s">
        <v>641</v>
      </c>
      <c r="G93" s="3" t="s">
        <v>642</v>
      </c>
      <c r="H93" s="3" t="s">
        <v>510</v>
      </c>
      <c r="I93" s="3" t="s">
        <v>18</v>
      </c>
      <c r="J93" s="3" t="s">
        <v>643</v>
      </c>
      <c r="K93" s="1"/>
      <c r="L93" s="3" t="s">
        <v>644</v>
      </c>
    </row>
    <row r="94" spans="1:12" ht="95" customHeight="1" x14ac:dyDescent="0.2">
      <c r="A94" s="1">
        <v>93</v>
      </c>
      <c r="B94" s="2" t="s">
        <v>558</v>
      </c>
      <c r="C94" s="1">
        <v>2023</v>
      </c>
      <c r="D94" s="3" t="s">
        <v>645</v>
      </c>
      <c r="E94" s="3" t="s">
        <v>646</v>
      </c>
      <c r="F94" s="3" t="s">
        <v>647</v>
      </c>
      <c r="G94" s="3" t="s">
        <v>648</v>
      </c>
      <c r="H94" s="3" t="s">
        <v>510</v>
      </c>
      <c r="I94" s="3" t="s">
        <v>18</v>
      </c>
      <c r="J94" s="3" t="s">
        <v>649</v>
      </c>
      <c r="K94" s="1"/>
      <c r="L94" s="3" t="s">
        <v>650</v>
      </c>
    </row>
    <row r="95" spans="1:12" ht="108" customHeight="1" x14ac:dyDescent="0.2">
      <c r="A95" s="1">
        <v>94</v>
      </c>
      <c r="B95" s="2" t="s">
        <v>651</v>
      </c>
      <c r="C95" s="1">
        <v>2024</v>
      </c>
      <c r="D95" s="3" t="s">
        <v>652</v>
      </c>
      <c r="E95" s="3" t="s">
        <v>653</v>
      </c>
      <c r="F95" s="3" t="s">
        <v>654</v>
      </c>
      <c r="G95" s="3" t="s">
        <v>655</v>
      </c>
      <c r="H95" s="3" t="s">
        <v>510</v>
      </c>
      <c r="I95" s="3" t="s">
        <v>85</v>
      </c>
      <c r="J95" s="3" t="s">
        <v>656</v>
      </c>
      <c r="K95" s="1"/>
      <c r="L95" s="3" t="s">
        <v>657</v>
      </c>
    </row>
    <row r="96" spans="1:12" ht="82" customHeight="1" x14ac:dyDescent="0.2">
      <c r="A96" s="1">
        <v>95</v>
      </c>
      <c r="B96" s="2" t="s">
        <v>658</v>
      </c>
      <c r="C96" s="1">
        <v>2024</v>
      </c>
      <c r="D96" s="3" t="s">
        <v>659</v>
      </c>
      <c r="E96" s="3" t="s">
        <v>660</v>
      </c>
      <c r="F96" s="3" t="s">
        <v>661</v>
      </c>
      <c r="G96" s="3" t="s">
        <v>662</v>
      </c>
      <c r="H96" s="3" t="s">
        <v>510</v>
      </c>
      <c r="I96" s="3" t="s">
        <v>18</v>
      </c>
      <c r="J96" s="3" t="s">
        <v>663</v>
      </c>
      <c r="K96" s="1"/>
      <c r="L96" s="3" t="s">
        <v>664</v>
      </c>
    </row>
    <row r="97" spans="1:12" ht="82" customHeight="1" x14ac:dyDescent="0.2">
      <c r="A97" s="1">
        <v>96</v>
      </c>
      <c r="B97" s="2" t="s">
        <v>658</v>
      </c>
      <c r="C97" s="1">
        <v>2024</v>
      </c>
      <c r="D97" s="3" t="s">
        <v>665</v>
      </c>
      <c r="E97" s="3" t="s">
        <v>666</v>
      </c>
      <c r="F97" s="3" t="s">
        <v>667</v>
      </c>
      <c r="G97" s="3" t="s">
        <v>668</v>
      </c>
      <c r="H97" s="3" t="s">
        <v>510</v>
      </c>
      <c r="I97" s="3" t="s">
        <v>34</v>
      </c>
      <c r="J97" s="3" t="s">
        <v>669</v>
      </c>
      <c r="K97" s="1"/>
      <c r="L97" s="3" t="s">
        <v>670</v>
      </c>
    </row>
    <row r="98" spans="1:12" ht="95" customHeight="1" x14ac:dyDescent="0.2">
      <c r="A98" s="1">
        <v>97</v>
      </c>
      <c r="B98" s="2" t="s">
        <v>671</v>
      </c>
      <c r="C98" s="1">
        <v>2024</v>
      </c>
      <c r="D98" s="3" t="s">
        <v>672</v>
      </c>
      <c r="E98" s="3" t="s">
        <v>673</v>
      </c>
      <c r="F98" s="3" t="s">
        <v>674</v>
      </c>
      <c r="G98" s="3" t="s">
        <v>675</v>
      </c>
      <c r="H98" s="3" t="s">
        <v>510</v>
      </c>
      <c r="I98" s="3" t="s">
        <v>18</v>
      </c>
      <c r="J98" s="3" t="s">
        <v>676</v>
      </c>
      <c r="K98" s="1"/>
      <c r="L98" s="3" t="s">
        <v>677</v>
      </c>
    </row>
    <row r="99" spans="1:12" ht="82" customHeight="1" x14ac:dyDescent="0.2">
      <c r="A99" s="1">
        <v>98</v>
      </c>
      <c r="B99" s="2" t="s">
        <v>678</v>
      </c>
      <c r="C99" s="1">
        <v>2024</v>
      </c>
      <c r="D99" s="3" t="s">
        <v>679</v>
      </c>
      <c r="E99" s="3" t="s">
        <v>680</v>
      </c>
      <c r="F99" s="3" t="s">
        <v>681</v>
      </c>
      <c r="G99" s="3" t="s">
        <v>682</v>
      </c>
      <c r="H99" s="3" t="s">
        <v>510</v>
      </c>
      <c r="I99" s="3" t="s">
        <v>85</v>
      </c>
      <c r="J99" s="3" t="s">
        <v>683</v>
      </c>
      <c r="K99" s="1"/>
      <c r="L99" s="3" t="s">
        <v>684</v>
      </c>
    </row>
    <row r="100" spans="1:12" ht="121" customHeight="1" x14ac:dyDescent="0.2">
      <c r="A100" s="1">
        <v>99</v>
      </c>
      <c r="B100" s="2" t="s">
        <v>685</v>
      </c>
      <c r="C100" s="1">
        <v>2024</v>
      </c>
      <c r="D100" s="3" t="s">
        <v>686</v>
      </c>
      <c r="E100" s="3" t="s">
        <v>687</v>
      </c>
      <c r="F100" s="3" t="s">
        <v>688</v>
      </c>
      <c r="G100" s="3" t="s">
        <v>689</v>
      </c>
      <c r="H100" s="3" t="s">
        <v>510</v>
      </c>
      <c r="I100" s="3" t="s">
        <v>18</v>
      </c>
      <c r="J100" s="3" t="s">
        <v>690</v>
      </c>
      <c r="K100" s="1"/>
      <c r="L100" s="3" t="s">
        <v>691</v>
      </c>
    </row>
    <row r="101" spans="1:12" ht="82" customHeight="1" x14ac:dyDescent="0.2">
      <c r="A101" s="1">
        <v>100</v>
      </c>
      <c r="B101" s="2" t="s">
        <v>505</v>
      </c>
      <c r="C101" s="1">
        <v>2024</v>
      </c>
      <c r="D101" s="3" t="s">
        <v>692</v>
      </c>
      <c r="E101" s="3" t="s">
        <v>693</v>
      </c>
      <c r="F101" s="3" t="s">
        <v>694</v>
      </c>
      <c r="G101" s="3" t="s">
        <v>695</v>
      </c>
      <c r="H101" s="3" t="s">
        <v>510</v>
      </c>
      <c r="I101" s="3" t="s">
        <v>18</v>
      </c>
      <c r="J101" s="3" t="s">
        <v>696</v>
      </c>
      <c r="K101" s="1"/>
      <c r="L101" s="3" t="s">
        <v>697</v>
      </c>
    </row>
    <row r="102" spans="1:12" ht="82" customHeight="1" x14ac:dyDescent="0.2">
      <c r="A102" s="1">
        <v>101</v>
      </c>
      <c r="B102" s="2" t="s">
        <v>698</v>
      </c>
      <c r="C102" s="1">
        <v>2025</v>
      </c>
      <c r="D102" s="3" t="s">
        <v>699</v>
      </c>
      <c r="E102" s="3" t="s">
        <v>700</v>
      </c>
      <c r="F102" s="3" t="s">
        <v>701</v>
      </c>
      <c r="G102" s="3" t="s">
        <v>702</v>
      </c>
      <c r="H102" s="3" t="s">
        <v>510</v>
      </c>
      <c r="I102" s="3" t="s">
        <v>18</v>
      </c>
      <c r="J102" s="3" t="s">
        <v>703</v>
      </c>
      <c r="K102" s="1"/>
      <c r="L102" s="3" t="s">
        <v>704</v>
      </c>
    </row>
    <row r="103" spans="1:12" ht="95" customHeight="1" x14ac:dyDescent="0.2">
      <c r="A103" s="1">
        <v>102</v>
      </c>
      <c r="B103" s="2" t="s">
        <v>671</v>
      </c>
      <c r="C103" s="1">
        <v>2025</v>
      </c>
      <c r="D103" s="3" t="s">
        <v>705</v>
      </c>
      <c r="E103" s="3" t="s">
        <v>706</v>
      </c>
      <c r="F103" s="3" t="s">
        <v>707</v>
      </c>
      <c r="G103" s="3" t="s">
        <v>708</v>
      </c>
      <c r="H103" s="3" t="s">
        <v>510</v>
      </c>
      <c r="I103" s="3" t="s">
        <v>34</v>
      </c>
      <c r="J103" s="3" t="s">
        <v>709</v>
      </c>
      <c r="K103" s="1"/>
      <c r="L103" s="3" t="s">
        <v>710</v>
      </c>
    </row>
    <row r="104" spans="1:12" ht="95" customHeight="1" x14ac:dyDescent="0.2">
      <c r="A104" s="1">
        <v>103</v>
      </c>
      <c r="B104" s="2" t="s">
        <v>711</v>
      </c>
      <c r="C104" s="1">
        <v>2019</v>
      </c>
      <c r="D104" s="3" t="s">
        <v>712</v>
      </c>
      <c r="E104" s="3" t="s">
        <v>713</v>
      </c>
      <c r="F104" s="3" t="s">
        <v>714</v>
      </c>
      <c r="G104" s="3" t="s">
        <v>715</v>
      </c>
      <c r="H104" s="3" t="s">
        <v>716</v>
      </c>
      <c r="I104" s="3" t="s">
        <v>93</v>
      </c>
      <c r="J104" s="3" t="s">
        <v>717</v>
      </c>
      <c r="K104" s="1"/>
      <c r="L104" s="3" t="s">
        <v>718</v>
      </c>
    </row>
    <row r="105" spans="1:12" ht="95" customHeight="1" x14ac:dyDescent="0.2">
      <c r="A105" s="1">
        <v>104</v>
      </c>
      <c r="B105" s="2" t="s">
        <v>44</v>
      </c>
      <c r="C105" s="1">
        <v>2019</v>
      </c>
      <c r="D105" s="3" t="s">
        <v>719</v>
      </c>
      <c r="E105" s="3" t="s">
        <v>720</v>
      </c>
      <c r="F105" s="3" t="s">
        <v>721</v>
      </c>
      <c r="G105" s="3" t="s">
        <v>722</v>
      </c>
      <c r="H105" s="3" t="s">
        <v>716</v>
      </c>
      <c r="I105" s="3" t="s">
        <v>18</v>
      </c>
      <c r="J105" s="3" t="s">
        <v>723</v>
      </c>
      <c r="K105" s="1"/>
      <c r="L105" s="3" t="s">
        <v>724</v>
      </c>
    </row>
    <row r="106" spans="1:12" ht="108" customHeight="1" x14ac:dyDescent="0.2">
      <c r="A106" s="1">
        <v>105</v>
      </c>
      <c r="B106" s="2" t="s">
        <v>725</v>
      </c>
      <c r="C106" s="1">
        <v>2020</v>
      </c>
      <c r="D106" s="3" t="s">
        <v>726</v>
      </c>
      <c r="E106" s="3" t="s">
        <v>727</v>
      </c>
      <c r="F106" s="3" t="s">
        <v>728</v>
      </c>
      <c r="G106" s="3" t="s">
        <v>729</v>
      </c>
      <c r="H106" s="3" t="s">
        <v>716</v>
      </c>
      <c r="I106" s="3" t="s">
        <v>18</v>
      </c>
      <c r="J106" s="3" t="s">
        <v>730</v>
      </c>
      <c r="K106" s="1"/>
      <c r="L106" s="3" t="s">
        <v>731</v>
      </c>
    </row>
    <row r="107" spans="1:12" ht="82" customHeight="1" x14ac:dyDescent="0.2">
      <c r="A107" s="1">
        <v>106</v>
      </c>
      <c r="B107" s="2" t="s">
        <v>732</v>
      </c>
      <c r="C107" s="1">
        <v>2021</v>
      </c>
      <c r="D107" s="3" t="s">
        <v>733</v>
      </c>
      <c r="E107" s="3" t="s">
        <v>734</v>
      </c>
      <c r="F107" s="3" t="s">
        <v>735</v>
      </c>
      <c r="G107" s="3" t="s">
        <v>736</v>
      </c>
      <c r="H107" s="3" t="s">
        <v>716</v>
      </c>
      <c r="I107" s="3" t="s">
        <v>18</v>
      </c>
      <c r="J107" s="3" t="s">
        <v>737</v>
      </c>
      <c r="K107" s="1"/>
      <c r="L107" s="3" t="s">
        <v>738</v>
      </c>
    </row>
    <row r="108" spans="1:12" ht="108" customHeight="1" x14ac:dyDescent="0.2">
      <c r="A108" s="1">
        <v>107</v>
      </c>
      <c r="B108" s="2" t="s">
        <v>44</v>
      </c>
      <c r="C108" s="1">
        <v>2021</v>
      </c>
      <c r="D108" s="3" t="s">
        <v>739</v>
      </c>
      <c r="E108" s="3" t="s">
        <v>740</v>
      </c>
      <c r="F108" s="3" t="s">
        <v>741</v>
      </c>
      <c r="G108" s="3" t="s">
        <v>742</v>
      </c>
      <c r="H108" s="3" t="s">
        <v>716</v>
      </c>
      <c r="I108" s="3" t="s">
        <v>18</v>
      </c>
      <c r="J108" s="3" t="s">
        <v>743</v>
      </c>
      <c r="K108" s="1"/>
      <c r="L108" s="3" t="s">
        <v>744</v>
      </c>
    </row>
    <row r="109" spans="1:12" ht="95" customHeight="1" x14ac:dyDescent="0.2">
      <c r="A109" s="1">
        <v>108</v>
      </c>
      <c r="B109" s="2" t="s">
        <v>178</v>
      </c>
      <c r="C109" s="1">
        <v>2021</v>
      </c>
      <c r="D109" s="3" t="s">
        <v>745</v>
      </c>
      <c r="E109" s="3" t="s">
        <v>746</v>
      </c>
      <c r="F109" s="3" t="s">
        <v>747</v>
      </c>
      <c r="G109" s="3" t="s">
        <v>748</v>
      </c>
      <c r="H109" s="3" t="s">
        <v>716</v>
      </c>
      <c r="I109" s="3" t="s">
        <v>93</v>
      </c>
      <c r="J109" s="3" t="s">
        <v>749</v>
      </c>
      <c r="K109" s="1"/>
      <c r="L109" s="3" t="s">
        <v>750</v>
      </c>
    </row>
    <row r="110" spans="1:12" ht="82" customHeight="1" x14ac:dyDescent="0.2">
      <c r="A110" s="1">
        <v>109</v>
      </c>
      <c r="B110" s="2" t="s">
        <v>725</v>
      </c>
      <c r="C110" s="1">
        <v>2021</v>
      </c>
      <c r="D110" s="3" t="s">
        <v>751</v>
      </c>
      <c r="E110" s="3" t="s">
        <v>752</v>
      </c>
      <c r="F110" s="3" t="s">
        <v>753</v>
      </c>
      <c r="G110" s="3" t="s">
        <v>754</v>
      </c>
      <c r="H110" s="3" t="s">
        <v>716</v>
      </c>
      <c r="I110" s="3" t="s">
        <v>85</v>
      </c>
      <c r="J110" s="3" t="s">
        <v>755</v>
      </c>
      <c r="K110" s="1"/>
      <c r="L110" s="3" t="s">
        <v>756</v>
      </c>
    </row>
    <row r="111" spans="1:12" ht="134" customHeight="1" x14ac:dyDescent="0.2">
      <c r="A111" s="1">
        <v>110</v>
      </c>
      <c r="B111" s="2" t="s">
        <v>272</v>
      </c>
      <c r="C111" s="1">
        <v>2022</v>
      </c>
      <c r="D111" s="3" t="s">
        <v>757</v>
      </c>
      <c r="E111" s="3" t="s">
        <v>758</v>
      </c>
      <c r="F111" s="3" t="s">
        <v>759</v>
      </c>
      <c r="G111" s="3" t="s">
        <v>760</v>
      </c>
      <c r="H111" s="3" t="s">
        <v>716</v>
      </c>
      <c r="I111" s="3" t="s">
        <v>18</v>
      </c>
      <c r="J111" s="3" t="s">
        <v>761</v>
      </c>
      <c r="K111" s="1"/>
      <c r="L111" s="3" t="s">
        <v>762</v>
      </c>
    </row>
    <row r="112" spans="1:12" ht="82" customHeight="1" x14ac:dyDescent="0.2">
      <c r="A112" s="1">
        <v>111</v>
      </c>
      <c r="B112" s="2" t="s">
        <v>763</v>
      </c>
      <c r="C112" s="1">
        <v>2023</v>
      </c>
      <c r="D112" s="3" t="s">
        <v>764</v>
      </c>
      <c r="E112" s="3" t="s">
        <v>765</v>
      </c>
      <c r="F112" s="3" t="s">
        <v>766</v>
      </c>
      <c r="G112" s="3" t="s">
        <v>767</v>
      </c>
      <c r="H112" s="3" t="s">
        <v>716</v>
      </c>
      <c r="I112" s="3" t="s">
        <v>18</v>
      </c>
      <c r="J112" s="3" t="s">
        <v>768</v>
      </c>
      <c r="K112" s="1"/>
      <c r="L112" s="3" t="s">
        <v>769</v>
      </c>
    </row>
    <row r="113" spans="1:12" ht="82" customHeight="1" x14ac:dyDescent="0.2">
      <c r="A113" s="1">
        <v>112</v>
      </c>
      <c r="B113" s="2" t="s">
        <v>770</v>
      </c>
      <c r="C113" s="1">
        <v>2023</v>
      </c>
      <c r="D113" s="3" t="s">
        <v>771</v>
      </c>
      <c r="E113" s="3" t="s">
        <v>772</v>
      </c>
      <c r="F113" s="3" t="s">
        <v>773</v>
      </c>
      <c r="G113" s="3" t="s">
        <v>774</v>
      </c>
      <c r="H113" s="3" t="s">
        <v>716</v>
      </c>
      <c r="I113" s="3" t="s">
        <v>93</v>
      </c>
      <c r="J113" s="3" t="s">
        <v>775</v>
      </c>
      <c r="K113" s="1"/>
      <c r="L113" s="3" t="s">
        <v>776</v>
      </c>
    </row>
    <row r="114" spans="1:12" ht="108" customHeight="1" x14ac:dyDescent="0.2">
      <c r="A114" s="1">
        <v>113</v>
      </c>
      <c r="B114" s="2" t="s">
        <v>763</v>
      </c>
      <c r="C114" s="1">
        <v>2024</v>
      </c>
      <c r="D114" s="3" t="s">
        <v>777</v>
      </c>
      <c r="E114" s="3" t="s">
        <v>778</v>
      </c>
      <c r="F114" s="3" t="s">
        <v>779</v>
      </c>
      <c r="G114" s="3" t="s">
        <v>780</v>
      </c>
      <c r="H114" s="3" t="s">
        <v>716</v>
      </c>
      <c r="I114" s="3" t="s">
        <v>18</v>
      </c>
      <c r="J114" s="3" t="s">
        <v>781</v>
      </c>
      <c r="K114" s="1"/>
      <c r="L114" s="3" t="s">
        <v>782</v>
      </c>
    </row>
    <row r="115" spans="1:12" ht="95" customHeight="1" x14ac:dyDescent="0.2">
      <c r="A115" s="1">
        <v>114</v>
      </c>
      <c r="B115" s="2" t="s">
        <v>763</v>
      </c>
      <c r="C115" s="1">
        <v>2024</v>
      </c>
      <c r="D115" s="3" t="s">
        <v>783</v>
      </c>
      <c r="E115" s="3" t="s">
        <v>784</v>
      </c>
      <c r="F115" s="3" t="s">
        <v>785</v>
      </c>
      <c r="G115" s="3" t="s">
        <v>786</v>
      </c>
      <c r="H115" s="3" t="s">
        <v>716</v>
      </c>
      <c r="I115" s="3" t="s">
        <v>18</v>
      </c>
      <c r="J115" s="3" t="s">
        <v>787</v>
      </c>
      <c r="K115" s="1"/>
      <c r="L115" s="3" t="s">
        <v>788</v>
      </c>
    </row>
    <row r="116" spans="1:12" ht="95" customHeight="1" x14ac:dyDescent="0.2">
      <c r="A116" s="1">
        <v>115</v>
      </c>
      <c r="B116" s="2" t="s">
        <v>658</v>
      </c>
      <c r="C116" s="1">
        <v>2024</v>
      </c>
      <c r="D116" s="3" t="s">
        <v>789</v>
      </c>
      <c r="E116" s="3" t="s">
        <v>790</v>
      </c>
      <c r="F116" s="3" t="s">
        <v>791</v>
      </c>
      <c r="G116" s="3" t="s">
        <v>792</v>
      </c>
      <c r="H116" s="3" t="s">
        <v>716</v>
      </c>
      <c r="I116" s="3" t="s">
        <v>34</v>
      </c>
      <c r="J116" s="3" t="s">
        <v>793</v>
      </c>
      <c r="K116" s="1"/>
      <c r="L116" s="3" t="s">
        <v>794</v>
      </c>
    </row>
    <row r="117" spans="1:12" ht="82" customHeight="1" x14ac:dyDescent="0.2">
      <c r="A117" s="1">
        <v>116</v>
      </c>
      <c r="B117" s="2" t="s">
        <v>73</v>
      </c>
      <c r="C117" s="1">
        <v>2024</v>
      </c>
      <c r="D117" s="3" t="s">
        <v>795</v>
      </c>
      <c r="E117" s="3" t="s">
        <v>796</v>
      </c>
      <c r="F117" s="3" t="s">
        <v>797</v>
      </c>
      <c r="G117" s="3" t="s">
        <v>798</v>
      </c>
      <c r="H117" s="3" t="s">
        <v>716</v>
      </c>
      <c r="I117" s="3" t="s">
        <v>18</v>
      </c>
      <c r="J117" s="3" t="s">
        <v>799</v>
      </c>
      <c r="K117" s="1"/>
      <c r="L117" s="3" t="s">
        <v>800</v>
      </c>
    </row>
    <row r="118" spans="1:12" ht="95" customHeight="1" x14ac:dyDescent="0.2">
      <c r="A118" s="1">
        <v>117</v>
      </c>
      <c r="B118" s="2" t="s">
        <v>801</v>
      </c>
      <c r="C118" s="1">
        <v>2024</v>
      </c>
      <c r="D118" s="3" t="s">
        <v>802</v>
      </c>
      <c r="E118" s="3" t="s">
        <v>803</v>
      </c>
      <c r="F118" s="3" t="s">
        <v>804</v>
      </c>
      <c r="G118" s="3" t="s">
        <v>805</v>
      </c>
      <c r="H118" s="3" t="s">
        <v>716</v>
      </c>
      <c r="I118" s="3" t="s">
        <v>34</v>
      </c>
      <c r="J118" s="3" t="s">
        <v>806</v>
      </c>
      <c r="K118" s="1"/>
      <c r="L118" s="3" t="s">
        <v>807</v>
      </c>
    </row>
    <row r="119" spans="1:12" ht="95" customHeight="1" x14ac:dyDescent="0.2">
      <c r="A119" s="1">
        <v>118</v>
      </c>
      <c r="B119" s="2" t="s">
        <v>265</v>
      </c>
      <c r="C119" s="1">
        <v>2024</v>
      </c>
      <c r="D119" s="3" t="s">
        <v>808</v>
      </c>
      <c r="E119" s="3" t="s">
        <v>809</v>
      </c>
      <c r="F119" s="3" t="s">
        <v>810</v>
      </c>
      <c r="G119" s="3" t="s">
        <v>811</v>
      </c>
      <c r="H119" s="3" t="s">
        <v>716</v>
      </c>
      <c r="I119" s="3" t="s">
        <v>56</v>
      </c>
      <c r="J119" s="3" t="s">
        <v>812</v>
      </c>
      <c r="K119" s="1"/>
      <c r="L119" s="3" t="s">
        <v>813</v>
      </c>
    </row>
    <row r="120" spans="1:12" ht="134" customHeight="1" x14ac:dyDescent="0.2">
      <c r="A120" s="1">
        <v>119</v>
      </c>
      <c r="B120" s="2" t="s">
        <v>265</v>
      </c>
      <c r="C120" s="1">
        <v>2024</v>
      </c>
      <c r="D120" s="3" t="s">
        <v>814</v>
      </c>
      <c r="E120" s="3" t="s">
        <v>815</v>
      </c>
      <c r="F120" s="3" t="s">
        <v>816</v>
      </c>
      <c r="G120" s="3" t="s">
        <v>817</v>
      </c>
      <c r="H120" s="3" t="s">
        <v>716</v>
      </c>
      <c r="I120" s="3" t="s">
        <v>18</v>
      </c>
      <c r="J120" s="3" t="s">
        <v>818</v>
      </c>
      <c r="K120" s="1"/>
      <c r="L120" s="3" t="s">
        <v>819</v>
      </c>
    </row>
    <row r="121" spans="1:12" ht="121" customHeight="1" x14ac:dyDescent="0.2">
      <c r="A121" s="1">
        <v>120</v>
      </c>
      <c r="B121" s="2" t="s">
        <v>820</v>
      </c>
      <c r="C121" s="1">
        <v>2025</v>
      </c>
      <c r="D121" s="3" t="s">
        <v>821</v>
      </c>
      <c r="E121" s="3" t="s">
        <v>822</v>
      </c>
      <c r="F121" s="3" t="s">
        <v>823</v>
      </c>
      <c r="G121" s="3" t="s">
        <v>824</v>
      </c>
      <c r="H121" s="3" t="s">
        <v>716</v>
      </c>
      <c r="I121" s="3" t="s">
        <v>18</v>
      </c>
      <c r="J121" s="3" t="s">
        <v>825</v>
      </c>
      <c r="K121" s="1"/>
      <c r="L121" s="3" t="s">
        <v>826</v>
      </c>
    </row>
    <row r="122" spans="1:12" ht="108" customHeight="1" x14ac:dyDescent="0.2">
      <c r="A122" s="1">
        <v>121</v>
      </c>
      <c r="B122" s="2" t="s">
        <v>827</v>
      </c>
      <c r="C122" s="1">
        <v>2025</v>
      </c>
      <c r="D122" s="3" t="s">
        <v>828</v>
      </c>
      <c r="E122" s="3" t="s">
        <v>829</v>
      </c>
      <c r="F122" s="3" t="s">
        <v>830</v>
      </c>
      <c r="G122" s="3" t="s">
        <v>831</v>
      </c>
      <c r="H122" s="3" t="s">
        <v>716</v>
      </c>
      <c r="I122" s="3" t="s">
        <v>34</v>
      </c>
      <c r="J122" s="3" t="s">
        <v>832</v>
      </c>
      <c r="K122" s="1"/>
      <c r="L122" s="3" t="s">
        <v>833</v>
      </c>
    </row>
    <row r="123" spans="1:12" ht="108" customHeight="1" x14ac:dyDescent="0.2">
      <c r="A123" s="1">
        <v>122</v>
      </c>
      <c r="B123" s="2" t="s">
        <v>632</v>
      </c>
      <c r="C123" s="1">
        <v>2025</v>
      </c>
      <c r="D123" s="3" t="s">
        <v>834</v>
      </c>
      <c r="E123" s="3" t="s">
        <v>835</v>
      </c>
      <c r="F123" s="3" t="s">
        <v>836</v>
      </c>
      <c r="G123" s="3" t="s">
        <v>837</v>
      </c>
      <c r="H123" s="3" t="s">
        <v>716</v>
      </c>
      <c r="I123" s="3" t="s">
        <v>34</v>
      </c>
      <c r="J123" s="3" t="s">
        <v>838</v>
      </c>
      <c r="K123" s="1"/>
      <c r="L123" s="3" t="s">
        <v>839</v>
      </c>
    </row>
    <row r="124" spans="1:12" ht="95" customHeight="1" x14ac:dyDescent="0.2">
      <c r="A124" s="1">
        <v>123</v>
      </c>
      <c r="B124" s="2" t="s">
        <v>73</v>
      </c>
      <c r="C124" s="1">
        <v>2025</v>
      </c>
      <c r="D124" s="3" t="s">
        <v>840</v>
      </c>
      <c r="E124" s="3" t="s">
        <v>841</v>
      </c>
      <c r="F124" s="3" t="s">
        <v>842</v>
      </c>
      <c r="G124" s="3" t="s">
        <v>843</v>
      </c>
      <c r="H124" s="3" t="s">
        <v>716</v>
      </c>
      <c r="I124" s="3" t="s">
        <v>18</v>
      </c>
      <c r="J124" s="3" t="s">
        <v>844</v>
      </c>
      <c r="K124" s="1"/>
      <c r="L124" s="3" t="s">
        <v>845</v>
      </c>
    </row>
  </sheetData>
  <autoFilter ref="A1:L124"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3"/>
  <sheetViews>
    <sheetView workbookViewId="0">
      <pane ySplit="1" topLeftCell="A159" activePane="bottomLeft" state="frozen"/>
      <selection pane="bottomLeft"/>
    </sheetView>
  </sheetViews>
  <sheetFormatPr baseColWidth="10" defaultColWidth="8.83203125" defaultRowHeight="15" x14ac:dyDescent="0.2"/>
  <cols>
    <col min="1" max="1" width="5" customWidth="1"/>
    <col min="2" max="2" width="16" customWidth="1"/>
    <col min="3" max="3" width="7" customWidth="1"/>
    <col min="4" max="4" width="38" customWidth="1"/>
    <col min="5" max="7" width="48" customWidth="1"/>
    <col min="8" max="8" width="26" customWidth="1"/>
    <col min="9" max="9" width="24" customWidth="1"/>
    <col min="10" max="10" width="22" customWidth="1"/>
    <col min="11" max="11" width="8" customWidth="1"/>
    <col min="12" max="12" width="34" customWidth="1"/>
  </cols>
  <sheetData>
    <row r="1" spans="1:12" x14ac:dyDescent="0.2">
      <c r="A1" s="4" t="s">
        <v>0</v>
      </c>
      <c r="B1" s="4" t="s">
        <v>1</v>
      </c>
      <c r="C1" s="4" t="s">
        <v>2</v>
      </c>
      <c r="D1" s="4" t="s">
        <v>3</v>
      </c>
      <c r="E1" s="4" t="s">
        <v>4</v>
      </c>
      <c r="F1" s="4" t="s">
        <v>5</v>
      </c>
      <c r="G1" s="4" t="s">
        <v>6</v>
      </c>
      <c r="H1" s="4" t="s">
        <v>846</v>
      </c>
      <c r="I1" s="4" t="s">
        <v>8</v>
      </c>
      <c r="J1" s="4" t="s">
        <v>9</v>
      </c>
      <c r="K1" s="4" t="s">
        <v>10</v>
      </c>
      <c r="L1" s="4" t="s">
        <v>11</v>
      </c>
    </row>
    <row r="2" spans="1:12" ht="82" customHeight="1" x14ac:dyDescent="0.2">
      <c r="A2" s="1">
        <v>1</v>
      </c>
      <c r="B2" s="2" t="s">
        <v>847</v>
      </c>
      <c r="C2" s="1"/>
      <c r="D2" s="3" t="s">
        <v>848</v>
      </c>
      <c r="E2" s="3" t="s">
        <v>849</v>
      </c>
      <c r="F2" s="3" t="s">
        <v>850</v>
      </c>
      <c r="G2" s="3" t="s">
        <v>851</v>
      </c>
      <c r="H2" s="3" t="s">
        <v>852</v>
      </c>
      <c r="I2" s="3" t="s">
        <v>34</v>
      </c>
      <c r="J2" s="3" t="s">
        <v>853</v>
      </c>
      <c r="K2" s="1" t="s">
        <v>27</v>
      </c>
      <c r="L2" s="3" t="s">
        <v>854</v>
      </c>
    </row>
    <row r="3" spans="1:12" ht="95" customHeight="1" x14ac:dyDescent="0.2">
      <c r="A3" s="1">
        <v>2</v>
      </c>
      <c r="B3" s="2" t="s">
        <v>855</v>
      </c>
      <c r="C3" s="1">
        <v>2019</v>
      </c>
      <c r="D3" s="3" t="s">
        <v>856</v>
      </c>
      <c r="E3" s="3" t="s">
        <v>857</v>
      </c>
      <c r="F3" s="3" t="s">
        <v>858</v>
      </c>
      <c r="G3" s="3" t="s">
        <v>859</v>
      </c>
      <c r="H3" s="3" t="s">
        <v>852</v>
      </c>
      <c r="I3" s="3" t="s">
        <v>18</v>
      </c>
      <c r="J3" s="3" t="s">
        <v>860</v>
      </c>
      <c r="K3" s="1"/>
      <c r="L3" s="3" t="s">
        <v>861</v>
      </c>
    </row>
    <row r="4" spans="1:12" ht="82" customHeight="1" x14ac:dyDescent="0.2">
      <c r="A4" s="1">
        <v>3</v>
      </c>
      <c r="B4" s="2" t="s">
        <v>862</v>
      </c>
      <c r="C4" s="1">
        <v>2019</v>
      </c>
      <c r="D4" s="3" t="s">
        <v>863</v>
      </c>
      <c r="E4" s="3" t="s">
        <v>864</v>
      </c>
      <c r="F4" s="3" t="s">
        <v>865</v>
      </c>
      <c r="G4" s="3" t="s">
        <v>866</v>
      </c>
      <c r="H4" s="3" t="s">
        <v>852</v>
      </c>
      <c r="I4" s="3" t="s">
        <v>34</v>
      </c>
      <c r="J4" s="3" t="s">
        <v>867</v>
      </c>
      <c r="K4" s="1" t="s">
        <v>27</v>
      </c>
      <c r="L4" s="3" t="s">
        <v>868</v>
      </c>
    </row>
    <row r="5" spans="1:12" ht="82" customHeight="1" x14ac:dyDescent="0.2">
      <c r="A5" s="1">
        <v>4</v>
      </c>
      <c r="B5" s="2" t="s">
        <v>869</v>
      </c>
      <c r="C5" s="1">
        <v>2019</v>
      </c>
      <c r="D5" s="3" t="s">
        <v>870</v>
      </c>
      <c r="E5" s="3" t="s">
        <v>871</v>
      </c>
      <c r="F5" s="3" t="s">
        <v>872</v>
      </c>
      <c r="G5" s="3" t="s">
        <v>873</v>
      </c>
      <c r="H5" s="3" t="s">
        <v>852</v>
      </c>
      <c r="I5" s="3" t="s">
        <v>93</v>
      </c>
      <c r="J5" s="3" t="s">
        <v>874</v>
      </c>
      <c r="K5" s="1"/>
      <c r="L5" s="3" t="s">
        <v>875</v>
      </c>
    </row>
    <row r="6" spans="1:12" ht="95" customHeight="1" x14ac:dyDescent="0.2">
      <c r="A6" s="1">
        <v>5</v>
      </c>
      <c r="B6" s="2" t="s">
        <v>876</v>
      </c>
      <c r="C6" s="1">
        <v>2019</v>
      </c>
      <c r="D6" s="3" t="s">
        <v>877</v>
      </c>
      <c r="E6" s="3" t="s">
        <v>878</v>
      </c>
      <c r="F6" s="3" t="s">
        <v>879</v>
      </c>
      <c r="G6" s="3" t="s">
        <v>880</v>
      </c>
      <c r="H6" s="3" t="s">
        <v>852</v>
      </c>
      <c r="I6" s="3" t="s">
        <v>34</v>
      </c>
      <c r="J6" s="3" t="s">
        <v>881</v>
      </c>
      <c r="K6" s="1"/>
      <c r="L6" s="3" t="s">
        <v>882</v>
      </c>
    </row>
    <row r="7" spans="1:12" ht="82" customHeight="1" x14ac:dyDescent="0.2">
      <c r="A7" s="1">
        <v>6</v>
      </c>
      <c r="B7" s="2" t="s">
        <v>883</v>
      </c>
      <c r="C7" s="1">
        <v>2019</v>
      </c>
      <c r="D7" s="3" t="s">
        <v>884</v>
      </c>
      <c r="E7" s="3" t="s">
        <v>885</v>
      </c>
      <c r="F7" s="3" t="s">
        <v>886</v>
      </c>
      <c r="G7" s="3" t="s">
        <v>887</v>
      </c>
      <c r="H7" s="3" t="s">
        <v>852</v>
      </c>
      <c r="I7" s="3" t="s">
        <v>93</v>
      </c>
      <c r="J7" s="3" t="s">
        <v>888</v>
      </c>
      <c r="K7" s="1"/>
      <c r="L7" s="3" t="s">
        <v>889</v>
      </c>
    </row>
    <row r="8" spans="1:12" ht="108" customHeight="1" x14ac:dyDescent="0.2">
      <c r="A8" s="1">
        <v>7</v>
      </c>
      <c r="B8" s="2" t="s">
        <v>890</v>
      </c>
      <c r="C8" s="1">
        <v>2020</v>
      </c>
      <c r="D8" s="3" t="s">
        <v>891</v>
      </c>
      <c r="E8" s="3" t="s">
        <v>892</v>
      </c>
      <c r="F8" s="3" t="s">
        <v>893</v>
      </c>
      <c r="G8" s="3" t="s">
        <v>894</v>
      </c>
      <c r="H8" s="3" t="s">
        <v>852</v>
      </c>
      <c r="I8" s="3" t="s">
        <v>56</v>
      </c>
      <c r="J8" s="3" t="s">
        <v>895</v>
      </c>
      <c r="K8" s="1"/>
      <c r="L8" s="3" t="s">
        <v>896</v>
      </c>
    </row>
    <row r="9" spans="1:12" ht="82" customHeight="1" x14ac:dyDescent="0.2">
      <c r="A9" s="1">
        <v>8</v>
      </c>
      <c r="B9" s="2" t="s">
        <v>897</v>
      </c>
      <c r="C9" s="1">
        <v>2020</v>
      </c>
      <c r="D9" s="3" t="s">
        <v>898</v>
      </c>
      <c r="E9" s="3" t="s">
        <v>899</v>
      </c>
      <c r="F9" s="3" t="s">
        <v>900</v>
      </c>
      <c r="G9" s="3" t="s">
        <v>901</v>
      </c>
      <c r="H9" s="3" t="s">
        <v>852</v>
      </c>
      <c r="I9" s="3" t="s">
        <v>34</v>
      </c>
      <c r="J9" s="3" t="s">
        <v>902</v>
      </c>
      <c r="K9" s="1"/>
      <c r="L9" s="3" t="s">
        <v>903</v>
      </c>
    </row>
    <row r="10" spans="1:12" ht="82" customHeight="1" x14ac:dyDescent="0.2">
      <c r="A10" s="1">
        <v>9</v>
      </c>
      <c r="B10" s="2" t="s">
        <v>862</v>
      </c>
      <c r="C10" s="1">
        <v>2020</v>
      </c>
      <c r="D10" s="3" t="s">
        <v>904</v>
      </c>
      <c r="E10" s="3" t="s">
        <v>905</v>
      </c>
      <c r="F10" s="3" t="s">
        <v>906</v>
      </c>
      <c r="G10" s="3" t="s">
        <v>907</v>
      </c>
      <c r="H10" s="3" t="s">
        <v>852</v>
      </c>
      <c r="I10" s="3" t="s">
        <v>34</v>
      </c>
      <c r="J10" s="3" t="s">
        <v>908</v>
      </c>
      <c r="K10" s="1" t="s">
        <v>27</v>
      </c>
      <c r="L10" s="3" t="s">
        <v>909</v>
      </c>
    </row>
    <row r="11" spans="1:12" ht="160" customHeight="1" x14ac:dyDescent="0.2">
      <c r="A11" s="1">
        <v>10</v>
      </c>
      <c r="B11" s="2" t="s">
        <v>910</v>
      </c>
      <c r="C11" s="1">
        <v>2020</v>
      </c>
      <c r="D11" s="3" t="s">
        <v>911</v>
      </c>
      <c r="E11" s="3" t="s">
        <v>912</v>
      </c>
      <c r="F11" s="3" t="s">
        <v>913</v>
      </c>
      <c r="G11" s="3" t="s">
        <v>914</v>
      </c>
      <c r="H11" s="3" t="s">
        <v>852</v>
      </c>
      <c r="I11" s="3" t="s">
        <v>18</v>
      </c>
      <c r="J11" s="3" t="s">
        <v>915</v>
      </c>
      <c r="K11" s="1"/>
      <c r="L11" s="3" t="s">
        <v>916</v>
      </c>
    </row>
    <row r="12" spans="1:12" ht="82" customHeight="1" x14ac:dyDescent="0.2">
      <c r="A12" s="1">
        <v>11</v>
      </c>
      <c r="B12" s="2" t="s">
        <v>917</v>
      </c>
      <c r="C12" s="1">
        <v>2020</v>
      </c>
      <c r="D12" s="3" t="s">
        <v>918</v>
      </c>
      <c r="E12" s="3" t="s">
        <v>919</v>
      </c>
      <c r="F12" s="3" t="s">
        <v>920</v>
      </c>
      <c r="G12" s="3" t="s">
        <v>921</v>
      </c>
      <c r="H12" s="3" t="s">
        <v>852</v>
      </c>
      <c r="I12" s="3" t="s">
        <v>34</v>
      </c>
      <c r="J12" s="3" t="s">
        <v>922</v>
      </c>
      <c r="K12" s="1"/>
      <c r="L12" s="3" t="s">
        <v>923</v>
      </c>
    </row>
    <row r="13" spans="1:12" ht="95" customHeight="1" x14ac:dyDescent="0.2">
      <c r="A13" s="1">
        <v>12</v>
      </c>
      <c r="B13" s="2" t="s">
        <v>265</v>
      </c>
      <c r="C13" s="1">
        <v>2020</v>
      </c>
      <c r="D13" s="3" t="s">
        <v>924</v>
      </c>
      <c r="E13" s="3" t="s">
        <v>925</v>
      </c>
      <c r="F13" s="3" t="s">
        <v>926</v>
      </c>
      <c r="G13" s="3" t="s">
        <v>927</v>
      </c>
      <c r="H13" s="3" t="s">
        <v>852</v>
      </c>
      <c r="I13" s="3" t="s">
        <v>34</v>
      </c>
      <c r="J13" s="3" t="s">
        <v>928</v>
      </c>
      <c r="K13" s="1" t="s">
        <v>27</v>
      </c>
      <c r="L13" s="3" t="s">
        <v>929</v>
      </c>
    </row>
    <row r="14" spans="1:12" ht="108" customHeight="1" x14ac:dyDescent="0.2">
      <c r="A14" s="1">
        <v>13</v>
      </c>
      <c r="B14" s="2" t="s">
        <v>265</v>
      </c>
      <c r="C14" s="1">
        <v>2020</v>
      </c>
      <c r="D14" s="3" t="s">
        <v>930</v>
      </c>
      <c r="E14" s="3" t="s">
        <v>931</v>
      </c>
      <c r="F14" s="3" t="s">
        <v>932</v>
      </c>
      <c r="G14" s="3" t="s">
        <v>933</v>
      </c>
      <c r="H14" s="3" t="s">
        <v>852</v>
      </c>
      <c r="I14" s="3" t="s">
        <v>34</v>
      </c>
      <c r="J14" s="3" t="s">
        <v>934</v>
      </c>
      <c r="K14" s="1"/>
      <c r="L14" s="3" t="s">
        <v>935</v>
      </c>
    </row>
    <row r="15" spans="1:12" ht="82" customHeight="1" x14ac:dyDescent="0.2">
      <c r="A15" s="1">
        <v>14</v>
      </c>
      <c r="B15" s="2" t="s">
        <v>876</v>
      </c>
      <c r="C15" s="1">
        <v>2021</v>
      </c>
      <c r="D15" s="3" t="s">
        <v>936</v>
      </c>
      <c r="E15" s="3" t="s">
        <v>937</v>
      </c>
      <c r="F15" s="3" t="s">
        <v>938</v>
      </c>
      <c r="G15" s="3" t="s">
        <v>939</v>
      </c>
      <c r="H15" s="3" t="s">
        <v>852</v>
      </c>
      <c r="I15" s="3" t="s">
        <v>34</v>
      </c>
      <c r="J15" s="3" t="s">
        <v>940</v>
      </c>
      <c r="K15" s="1"/>
      <c r="L15" s="3" t="s">
        <v>941</v>
      </c>
    </row>
    <row r="16" spans="1:12" ht="82" customHeight="1" x14ac:dyDescent="0.2">
      <c r="A16" s="1">
        <v>15</v>
      </c>
      <c r="B16" s="2" t="s">
        <v>942</v>
      </c>
      <c r="C16" s="1">
        <v>2021</v>
      </c>
      <c r="D16" s="3" t="s">
        <v>943</v>
      </c>
      <c r="E16" s="3" t="s">
        <v>944</v>
      </c>
      <c r="F16" s="3" t="s">
        <v>945</v>
      </c>
      <c r="G16" s="3" t="s">
        <v>946</v>
      </c>
      <c r="H16" s="3" t="s">
        <v>852</v>
      </c>
      <c r="I16" s="3" t="s">
        <v>18</v>
      </c>
      <c r="J16" s="3" t="s">
        <v>947</v>
      </c>
      <c r="K16" s="1"/>
      <c r="L16" s="3" t="s">
        <v>948</v>
      </c>
    </row>
    <row r="17" spans="1:12" ht="134" customHeight="1" x14ac:dyDescent="0.2">
      <c r="A17" s="1">
        <v>16</v>
      </c>
      <c r="B17" s="2" t="s">
        <v>949</v>
      </c>
      <c r="C17" s="1">
        <v>2021</v>
      </c>
      <c r="D17" s="3" t="s">
        <v>950</v>
      </c>
      <c r="E17" s="3" t="s">
        <v>951</v>
      </c>
      <c r="F17" s="3" t="s">
        <v>952</v>
      </c>
      <c r="G17" s="3" t="s">
        <v>953</v>
      </c>
      <c r="H17" s="3" t="s">
        <v>852</v>
      </c>
      <c r="I17" s="3" t="s">
        <v>18</v>
      </c>
      <c r="J17" s="3" t="s">
        <v>954</v>
      </c>
      <c r="K17" s="1"/>
      <c r="L17" s="3" t="s">
        <v>955</v>
      </c>
    </row>
    <row r="18" spans="1:12" ht="108" customHeight="1" x14ac:dyDescent="0.2">
      <c r="A18" s="1">
        <v>17</v>
      </c>
      <c r="B18" s="2" t="s">
        <v>956</v>
      </c>
      <c r="C18" s="1">
        <v>2021</v>
      </c>
      <c r="D18" s="3" t="s">
        <v>957</v>
      </c>
      <c r="E18" s="3" t="s">
        <v>958</v>
      </c>
      <c r="F18" s="3" t="s">
        <v>959</v>
      </c>
      <c r="G18" s="3" t="s">
        <v>960</v>
      </c>
      <c r="H18" s="3" t="s">
        <v>852</v>
      </c>
      <c r="I18" s="3" t="s">
        <v>18</v>
      </c>
      <c r="J18" s="3" t="s">
        <v>961</v>
      </c>
      <c r="K18" s="1"/>
      <c r="L18" s="3" t="s">
        <v>962</v>
      </c>
    </row>
    <row r="19" spans="1:12" ht="95" customHeight="1" x14ac:dyDescent="0.2">
      <c r="A19" s="1">
        <v>18</v>
      </c>
      <c r="B19" s="2" t="s">
        <v>265</v>
      </c>
      <c r="C19" s="1">
        <v>2021</v>
      </c>
      <c r="D19" s="3" t="s">
        <v>963</v>
      </c>
      <c r="E19" s="3" t="s">
        <v>964</v>
      </c>
      <c r="F19" s="3" t="s">
        <v>965</v>
      </c>
      <c r="G19" s="3" t="s">
        <v>966</v>
      </c>
      <c r="H19" s="3" t="s">
        <v>852</v>
      </c>
      <c r="I19" s="3" t="s">
        <v>93</v>
      </c>
      <c r="J19" s="3" t="s">
        <v>967</v>
      </c>
      <c r="K19" s="1"/>
      <c r="L19" s="3" t="s">
        <v>968</v>
      </c>
    </row>
    <row r="20" spans="1:12" ht="108" customHeight="1" x14ac:dyDescent="0.2">
      <c r="A20" s="1">
        <v>19</v>
      </c>
      <c r="B20" s="2" t="s">
        <v>969</v>
      </c>
      <c r="C20" s="1">
        <v>2021</v>
      </c>
      <c r="D20" s="3" t="s">
        <v>970</v>
      </c>
      <c r="E20" s="3" t="s">
        <v>971</v>
      </c>
      <c r="F20" s="3" t="s">
        <v>972</v>
      </c>
      <c r="G20" s="3" t="s">
        <v>973</v>
      </c>
      <c r="H20" s="3" t="s">
        <v>852</v>
      </c>
      <c r="I20" s="3" t="s">
        <v>18</v>
      </c>
      <c r="J20" s="3" t="s">
        <v>974</v>
      </c>
      <c r="K20" s="1" t="s">
        <v>27</v>
      </c>
      <c r="L20" s="3" t="s">
        <v>975</v>
      </c>
    </row>
    <row r="21" spans="1:12" ht="82" customHeight="1" x14ac:dyDescent="0.2">
      <c r="A21" s="1">
        <v>20</v>
      </c>
      <c r="B21" s="2" t="s">
        <v>976</v>
      </c>
      <c r="C21" s="1">
        <v>2022</v>
      </c>
      <c r="D21" s="3" t="s">
        <v>977</v>
      </c>
      <c r="E21" s="3" t="s">
        <v>978</v>
      </c>
      <c r="F21" s="3" t="s">
        <v>979</v>
      </c>
      <c r="G21" s="3" t="s">
        <v>980</v>
      </c>
      <c r="H21" s="3" t="s">
        <v>852</v>
      </c>
      <c r="I21" s="3" t="s">
        <v>34</v>
      </c>
      <c r="J21" s="3" t="s">
        <v>981</v>
      </c>
      <c r="K21" s="1"/>
      <c r="L21" s="3" t="s">
        <v>982</v>
      </c>
    </row>
    <row r="22" spans="1:12" ht="95" customHeight="1" x14ac:dyDescent="0.2">
      <c r="A22" s="1">
        <v>21</v>
      </c>
      <c r="B22" s="2" t="s">
        <v>272</v>
      </c>
      <c r="C22" s="1">
        <v>2022</v>
      </c>
      <c r="D22" s="3" t="s">
        <v>983</v>
      </c>
      <c r="E22" s="3" t="s">
        <v>984</v>
      </c>
      <c r="F22" s="3" t="s">
        <v>985</v>
      </c>
      <c r="G22" s="3" t="s">
        <v>986</v>
      </c>
      <c r="H22" s="3" t="s">
        <v>852</v>
      </c>
      <c r="I22" s="3" t="s">
        <v>34</v>
      </c>
      <c r="J22" s="3" t="s">
        <v>987</v>
      </c>
      <c r="K22" s="1"/>
      <c r="L22" s="3" t="s">
        <v>988</v>
      </c>
    </row>
    <row r="23" spans="1:12" ht="95" customHeight="1" x14ac:dyDescent="0.2">
      <c r="A23" s="1">
        <v>22</v>
      </c>
      <c r="B23" s="2" t="s">
        <v>989</v>
      </c>
      <c r="C23" s="1">
        <v>2022</v>
      </c>
      <c r="D23" s="3" t="s">
        <v>990</v>
      </c>
      <c r="E23" s="3" t="s">
        <v>991</v>
      </c>
      <c r="F23" s="3" t="s">
        <v>992</v>
      </c>
      <c r="G23" s="3" t="s">
        <v>993</v>
      </c>
      <c r="H23" s="3" t="s">
        <v>852</v>
      </c>
      <c r="I23" s="3" t="s">
        <v>93</v>
      </c>
      <c r="J23" s="3" t="s">
        <v>994</v>
      </c>
      <c r="K23" s="1" t="s">
        <v>27</v>
      </c>
      <c r="L23" s="3" t="s">
        <v>995</v>
      </c>
    </row>
    <row r="24" spans="1:12" ht="95" customHeight="1" x14ac:dyDescent="0.2">
      <c r="A24" s="1">
        <v>23</v>
      </c>
      <c r="B24" s="2" t="s">
        <v>827</v>
      </c>
      <c r="C24" s="1">
        <v>2022</v>
      </c>
      <c r="D24" s="3" t="s">
        <v>996</v>
      </c>
      <c r="E24" s="3" t="s">
        <v>997</v>
      </c>
      <c r="F24" s="3" t="s">
        <v>998</v>
      </c>
      <c r="G24" s="3" t="s">
        <v>999</v>
      </c>
      <c r="H24" s="3" t="s">
        <v>852</v>
      </c>
      <c r="I24" s="3" t="s">
        <v>34</v>
      </c>
      <c r="J24" s="3" t="s">
        <v>1000</v>
      </c>
      <c r="K24" s="1"/>
      <c r="L24" s="3" t="s">
        <v>1001</v>
      </c>
    </row>
    <row r="25" spans="1:12" ht="82" customHeight="1" x14ac:dyDescent="0.2">
      <c r="A25" s="1">
        <v>24</v>
      </c>
      <c r="B25" s="2" t="s">
        <v>66</v>
      </c>
      <c r="C25" s="1">
        <v>2022</v>
      </c>
      <c r="D25" s="3" t="s">
        <v>1002</v>
      </c>
      <c r="E25" s="3" t="s">
        <v>1003</v>
      </c>
      <c r="F25" s="3" t="s">
        <v>1004</v>
      </c>
      <c r="G25" s="3" t="s">
        <v>1005</v>
      </c>
      <c r="H25" s="3" t="s">
        <v>852</v>
      </c>
      <c r="I25" s="3" t="s">
        <v>34</v>
      </c>
      <c r="J25" s="3" t="s">
        <v>1006</v>
      </c>
      <c r="K25" s="1"/>
      <c r="L25" s="3" t="s">
        <v>1007</v>
      </c>
    </row>
    <row r="26" spans="1:12" ht="121" customHeight="1" x14ac:dyDescent="0.2">
      <c r="A26" s="1">
        <v>25</v>
      </c>
      <c r="B26" s="2" t="s">
        <v>876</v>
      </c>
      <c r="C26" s="1">
        <v>2022</v>
      </c>
      <c r="D26" s="3" t="s">
        <v>1008</v>
      </c>
      <c r="E26" s="3" t="s">
        <v>1009</v>
      </c>
      <c r="F26" s="3" t="s">
        <v>1010</v>
      </c>
      <c r="G26" s="3" t="s">
        <v>1011</v>
      </c>
      <c r="H26" s="3" t="s">
        <v>852</v>
      </c>
      <c r="I26" s="3" t="s">
        <v>93</v>
      </c>
      <c r="J26" s="3" t="s">
        <v>1012</v>
      </c>
      <c r="K26" s="1"/>
      <c r="L26" s="3" t="s">
        <v>1013</v>
      </c>
    </row>
    <row r="27" spans="1:12" ht="95" customHeight="1" x14ac:dyDescent="0.2">
      <c r="A27" s="1">
        <v>26</v>
      </c>
      <c r="B27" s="2" t="s">
        <v>572</v>
      </c>
      <c r="C27" s="1">
        <v>2022</v>
      </c>
      <c r="D27" s="3" t="s">
        <v>1014</v>
      </c>
      <c r="E27" s="3" t="s">
        <v>1015</v>
      </c>
      <c r="F27" s="3" t="s">
        <v>1016</v>
      </c>
      <c r="G27" s="3" t="s">
        <v>1017</v>
      </c>
      <c r="H27" s="3" t="s">
        <v>852</v>
      </c>
      <c r="I27" s="3" t="s">
        <v>93</v>
      </c>
      <c r="J27" s="3" t="s">
        <v>1018</v>
      </c>
      <c r="K27" s="1"/>
      <c r="L27" s="3" t="s">
        <v>1019</v>
      </c>
    </row>
    <row r="28" spans="1:12" ht="134" customHeight="1" x14ac:dyDescent="0.2">
      <c r="A28" s="1">
        <v>27</v>
      </c>
      <c r="B28" s="2" t="s">
        <v>632</v>
      </c>
      <c r="C28" s="1">
        <v>2022</v>
      </c>
      <c r="D28" s="3" t="s">
        <v>1020</v>
      </c>
      <c r="E28" s="3" t="s">
        <v>1021</v>
      </c>
      <c r="F28" s="3" t="s">
        <v>1022</v>
      </c>
      <c r="G28" s="3" t="s">
        <v>1023</v>
      </c>
      <c r="H28" s="3" t="s">
        <v>852</v>
      </c>
      <c r="I28" s="3" t="s">
        <v>93</v>
      </c>
      <c r="J28" s="3" t="s">
        <v>1024</v>
      </c>
      <c r="K28" s="1"/>
      <c r="L28" s="3" t="s">
        <v>1025</v>
      </c>
    </row>
    <row r="29" spans="1:12" ht="82" customHeight="1" x14ac:dyDescent="0.2">
      <c r="A29" s="1">
        <v>28</v>
      </c>
      <c r="B29" s="2" t="s">
        <v>1026</v>
      </c>
      <c r="C29" s="1">
        <v>2022</v>
      </c>
      <c r="D29" s="3" t="s">
        <v>1027</v>
      </c>
      <c r="E29" s="3" t="s">
        <v>1028</v>
      </c>
      <c r="F29" s="3" t="s">
        <v>1029</v>
      </c>
      <c r="G29" s="3" t="s">
        <v>1030</v>
      </c>
      <c r="H29" s="3" t="s">
        <v>852</v>
      </c>
      <c r="I29" s="3" t="s">
        <v>34</v>
      </c>
      <c r="J29" s="3" t="s">
        <v>1031</v>
      </c>
      <c r="K29" s="1"/>
      <c r="L29" s="3" t="s">
        <v>1032</v>
      </c>
    </row>
    <row r="30" spans="1:12" ht="82" customHeight="1" x14ac:dyDescent="0.2">
      <c r="A30" s="1">
        <v>29</v>
      </c>
      <c r="B30" s="2" t="s">
        <v>917</v>
      </c>
      <c r="C30" s="1">
        <v>2022</v>
      </c>
      <c r="D30" s="3" t="s">
        <v>1033</v>
      </c>
      <c r="E30" s="3" t="s">
        <v>1034</v>
      </c>
      <c r="F30" s="3" t="s">
        <v>1035</v>
      </c>
      <c r="G30" s="3" t="s">
        <v>1036</v>
      </c>
      <c r="H30" s="3" t="s">
        <v>852</v>
      </c>
      <c r="I30" s="3" t="s">
        <v>34</v>
      </c>
      <c r="J30" s="3" t="s">
        <v>1037</v>
      </c>
      <c r="K30" s="1"/>
      <c r="L30" s="3" t="s">
        <v>1038</v>
      </c>
    </row>
    <row r="31" spans="1:12" ht="95" customHeight="1" x14ac:dyDescent="0.2">
      <c r="A31" s="1">
        <v>30</v>
      </c>
      <c r="B31" s="2" t="s">
        <v>1039</v>
      </c>
      <c r="C31" s="1">
        <v>2022</v>
      </c>
      <c r="D31" s="3" t="s">
        <v>1040</v>
      </c>
      <c r="E31" s="3" t="s">
        <v>1041</v>
      </c>
      <c r="F31" s="3" t="s">
        <v>1042</v>
      </c>
      <c r="G31" s="3" t="s">
        <v>1043</v>
      </c>
      <c r="H31" s="3" t="s">
        <v>852</v>
      </c>
      <c r="I31" s="3" t="s">
        <v>34</v>
      </c>
      <c r="J31" s="3" t="s">
        <v>1044</v>
      </c>
      <c r="K31" s="1"/>
      <c r="L31" s="3" t="s">
        <v>1045</v>
      </c>
    </row>
    <row r="32" spans="1:12" ht="95" customHeight="1" x14ac:dyDescent="0.2">
      <c r="A32" s="1">
        <v>31</v>
      </c>
      <c r="B32" s="2" t="s">
        <v>44</v>
      </c>
      <c r="C32" s="1">
        <v>2022</v>
      </c>
      <c r="D32" s="3" t="s">
        <v>1046</v>
      </c>
      <c r="E32" s="3" t="s">
        <v>1047</v>
      </c>
      <c r="F32" s="3" t="s">
        <v>1048</v>
      </c>
      <c r="G32" s="3" t="s">
        <v>1049</v>
      </c>
      <c r="H32" s="3" t="s">
        <v>852</v>
      </c>
      <c r="I32" s="3" t="s">
        <v>34</v>
      </c>
      <c r="J32" s="3" t="s">
        <v>1050</v>
      </c>
      <c r="K32" s="1"/>
      <c r="L32" s="3" t="s">
        <v>1051</v>
      </c>
    </row>
    <row r="33" spans="1:12" ht="121" customHeight="1" x14ac:dyDescent="0.2">
      <c r="A33" s="1">
        <v>32</v>
      </c>
      <c r="B33" s="2" t="s">
        <v>384</v>
      </c>
      <c r="C33" s="1">
        <v>2022</v>
      </c>
      <c r="D33" s="3" t="s">
        <v>1052</v>
      </c>
      <c r="E33" s="3" t="s">
        <v>1053</v>
      </c>
      <c r="F33" s="3" t="s">
        <v>1054</v>
      </c>
      <c r="G33" s="3" t="s">
        <v>1055</v>
      </c>
      <c r="H33" s="3" t="s">
        <v>852</v>
      </c>
      <c r="I33" s="3" t="s">
        <v>18</v>
      </c>
      <c r="J33" s="3" t="s">
        <v>1056</v>
      </c>
      <c r="K33" s="1"/>
      <c r="L33" s="3" t="s">
        <v>1057</v>
      </c>
    </row>
    <row r="34" spans="1:12" ht="95" customHeight="1" x14ac:dyDescent="0.2">
      <c r="A34" s="1">
        <v>33</v>
      </c>
      <c r="B34" s="2" t="s">
        <v>265</v>
      </c>
      <c r="C34" s="1">
        <v>2022</v>
      </c>
      <c r="D34" s="3" t="s">
        <v>1058</v>
      </c>
      <c r="E34" s="3" t="s">
        <v>1059</v>
      </c>
      <c r="F34" s="3" t="s">
        <v>1060</v>
      </c>
      <c r="G34" s="3" t="s">
        <v>1061</v>
      </c>
      <c r="H34" s="3" t="s">
        <v>852</v>
      </c>
      <c r="I34" s="3" t="s">
        <v>34</v>
      </c>
      <c r="J34" s="3" t="s">
        <v>1062</v>
      </c>
      <c r="K34" s="1"/>
      <c r="L34" s="3" t="s">
        <v>1063</v>
      </c>
    </row>
    <row r="35" spans="1:12" ht="108" customHeight="1" x14ac:dyDescent="0.2">
      <c r="A35" s="1">
        <v>34</v>
      </c>
      <c r="B35" s="2" t="s">
        <v>178</v>
      </c>
      <c r="C35" s="1">
        <v>2022</v>
      </c>
      <c r="D35" s="3" t="s">
        <v>1064</v>
      </c>
      <c r="E35" s="3" t="s">
        <v>1065</v>
      </c>
      <c r="F35" s="3" t="s">
        <v>1066</v>
      </c>
      <c r="G35" s="3" t="s">
        <v>1067</v>
      </c>
      <c r="H35" s="3" t="s">
        <v>852</v>
      </c>
      <c r="I35" s="3" t="s">
        <v>93</v>
      </c>
      <c r="J35" s="3" t="s">
        <v>1068</v>
      </c>
      <c r="K35" s="1"/>
      <c r="L35" s="3" t="s">
        <v>1069</v>
      </c>
    </row>
    <row r="36" spans="1:12" ht="95" customHeight="1" x14ac:dyDescent="0.2">
      <c r="A36" s="1">
        <v>35</v>
      </c>
      <c r="B36" s="2" t="s">
        <v>1070</v>
      </c>
      <c r="C36" s="1">
        <v>2022</v>
      </c>
      <c r="D36" s="3" t="s">
        <v>1071</v>
      </c>
      <c r="E36" s="3" t="s">
        <v>1072</v>
      </c>
      <c r="F36" s="3" t="s">
        <v>1073</v>
      </c>
      <c r="G36" s="3" t="s">
        <v>1074</v>
      </c>
      <c r="H36" s="3" t="s">
        <v>852</v>
      </c>
      <c r="I36" s="3" t="s">
        <v>56</v>
      </c>
      <c r="J36" s="3" t="s">
        <v>1075</v>
      </c>
      <c r="K36" s="1"/>
      <c r="L36" s="3" t="s">
        <v>1076</v>
      </c>
    </row>
    <row r="37" spans="1:12" ht="108" customHeight="1" x14ac:dyDescent="0.2">
      <c r="A37" s="1">
        <v>36</v>
      </c>
      <c r="B37" s="2" t="s">
        <v>827</v>
      </c>
      <c r="C37" s="1">
        <v>2023</v>
      </c>
      <c r="D37" s="3" t="s">
        <v>1077</v>
      </c>
      <c r="E37" s="3" t="s">
        <v>1078</v>
      </c>
      <c r="F37" s="3" t="s">
        <v>1079</v>
      </c>
      <c r="G37" s="3" t="s">
        <v>1080</v>
      </c>
      <c r="H37" s="3" t="s">
        <v>852</v>
      </c>
      <c r="I37" s="3" t="s">
        <v>34</v>
      </c>
      <c r="J37" s="3" t="s">
        <v>1081</v>
      </c>
      <c r="K37" s="1"/>
      <c r="L37" s="3" t="s">
        <v>1082</v>
      </c>
    </row>
    <row r="38" spans="1:12" ht="95" customHeight="1" x14ac:dyDescent="0.2">
      <c r="A38" s="1">
        <v>37</v>
      </c>
      <c r="B38" s="2" t="s">
        <v>827</v>
      </c>
      <c r="C38" s="1">
        <v>2023</v>
      </c>
      <c r="D38" s="3" t="s">
        <v>1083</v>
      </c>
      <c r="E38" s="3" t="s">
        <v>1084</v>
      </c>
      <c r="F38" s="3" t="s">
        <v>1085</v>
      </c>
      <c r="G38" s="3" t="s">
        <v>1086</v>
      </c>
      <c r="H38" s="3" t="s">
        <v>852</v>
      </c>
      <c r="I38" s="3" t="s">
        <v>34</v>
      </c>
      <c r="J38" s="3" t="s">
        <v>1087</v>
      </c>
      <c r="K38" s="1"/>
      <c r="L38" s="3" t="s">
        <v>1088</v>
      </c>
    </row>
    <row r="39" spans="1:12" ht="82" customHeight="1" x14ac:dyDescent="0.2">
      <c r="A39" s="1">
        <v>38</v>
      </c>
      <c r="B39" s="2" t="s">
        <v>66</v>
      </c>
      <c r="C39" s="1">
        <v>2023</v>
      </c>
      <c r="D39" s="3" t="s">
        <v>1089</v>
      </c>
      <c r="E39" s="3" t="s">
        <v>1090</v>
      </c>
      <c r="F39" s="3" t="s">
        <v>1091</v>
      </c>
      <c r="G39" s="3" t="s">
        <v>1092</v>
      </c>
      <c r="H39" s="3" t="s">
        <v>852</v>
      </c>
      <c r="I39" s="3" t="s">
        <v>34</v>
      </c>
      <c r="J39" s="3" t="s">
        <v>1093</v>
      </c>
      <c r="K39" s="1"/>
      <c r="L39" s="3" t="s">
        <v>1094</v>
      </c>
    </row>
    <row r="40" spans="1:12" ht="56" customHeight="1" x14ac:dyDescent="0.2">
      <c r="A40" s="1">
        <v>39</v>
      </c>
      <c r="B40" s="2" t="s">
        <v>1095</v>
      </c>
      <c r="C40" s="1">
        <v>2023</v>
      </c>
      <c r="D40" s="3" t="s">
        <v>1096</v>
      </c>
      <c r="E40" s="3" t="s">
        <v>1097</v>
      </c>
      <c r="F40" s="3" t="s">
        <v>1098</v>
      </c>
      <c r="G40" s="3" t="s">
        <v>1099</v>
      </c>
      <c r="H40" s="3" t="s">
        <v>852</v>
      </c>
      <c r="I40" s="3" t="s">
        <v>18</v>
      </c>
      <c r="J40" s="3" t="s">
        <v>1100</v>
      </c>
      <c r="K40" s="1" t="s">
        <v>27</v>
      </c>
      <c r="L40" s="3" t="s">
        <v>1101</v>
      </c>
    </row>
    <row r="41" spans="1:12" ht="82" customHeight="1" x14ac:dyDescent="0.2">
      <c r="A41" s="1">
        <v>40</v>
      </c>
      <c r="B41" s="2" t="s">
        <v>876</v>
      </c>
      <c r="C41" s="1">
        <v>2023</v>
      </c>
      <c r="D41" s="3" t="s">
        <v>1102</v>
      </c>
      <c r="E41" s="3" t="s">
        <v>1103</v>
      </c>
      <c r="F41" s="3" t="s">
        <v>1104</v>
      </c>
      <c r="G41" s="3" t="s">
        <v>1105</v>
      </c>
      <c r="H41" s="3" t="s">
        <v>852</v>
      </c>
      <c r="I41" s="3" t="s">
        <v>93</v>
      </c>
      <c r="J41" s="3" t="s">
        <v>1106</v>
      </c>
      <c r="K41" s="1"/>
      <c r="L41" s="3" t="s">
        <v>1107</v>
      </c>
    </row>
    <row r="42" spans="1:12" ht="95" customHeight="1" x14ac:dyDescent="0.2">
      <c r="A42" s="1">
        <v>41</v>
      </c>
      <c r="B42" s="2" t="s">
        <v>1108</v>
      </c>
      <c r="C42" s="1">
        <v>2023</v>
      </c>
      <c r="D42" s="3" t="s">
        <v>1109</v>
      </c>
      <c r="E42" s="3" t="s">
        <v>1110</v>
      </c>
      <c r="F42" s="3" t="s">
        <v>1111</v>
      </c>
      <c r="G42" s="3" t="s">
        <v>1112</v>
      </c>
      <c r="H42" s="3" t="s">
        <v>852</v>
      </c>
      <c r="I42" s="3" t="s">
        <v>18</v>
      </c>
      <c r="J42" s="3" t="s">
        <v>1113</v>
      </c>
      <c r="K42" s="1"/>
      <c r="L42" s="3" t="s">
        <v>1114</v>
      </c>
    </row>
    <row r="43" spans="1:12" ht="95" customHeight="1" x14ac:dyDescent="0.2">
      <c r="A43" s="1">
        <v>42</v>
      </c>
      <c r="B43" s="2" t="s">
        <v>1115</v>
      </c>
      <c r="C43" s="1">
        <v>2023</v>
      </c>
      <c r="D43" s="3" t="s">
        <v>1116</v>
      </c>
      <c r="E43" s="3" t="s">
        <v>1117</v>
      </c>
      <c r="F43" s="3" t="s">
        <v>1118</v>
      </c>
      <c r="G43" s="3" t="s">
        <v>1119</v>
      </c>
      <c r="H43" s="3" t="s">
        <v>852</v>
      </c>
      <c r="I43" s="3" t="s">
        <v>85</v>
      </c>
      <c r="J43" s="3" t="s">
        <v>1120</v>
      </c>
      <c r="K43" s="1"/>
      <c r="L43" s="3" t="s">
        <v>1121</v>
      </c>
    </row>
    <row r="44" spans="1:12" ht="82" customHeight="1" x14ac:dyDescent="0.2">
      <c r="A44" s="1">
        <v>43</v>
      </c>
      <c r="B44" s="2" t="s">
        <v>1122</v>
      </c>
      <c r="C44" s="1">
        <v>2023</v>
      </c>
      <c r="D44" s="3" t="s">
        <v>1123</v>
      </c>
      <c r="E44" s="3" t="s">
        <v>1124</v>
      </c>
      <c r="F44" s="3" t="s">
        <v>1125</v>
      </c>
      <c r="G44" s="3" t="s">
        <v>1126</v>
      </c>
      <c r="H44" s="3" t="s">
        <v>852</v>
      </c>
      <c r="I44" s="3" t="s">
        <v>34</v>
      </c>
      <c r="J44" s="3" t="s">
        <v>1127</v>
      </c>
      <c r="K44" s="1"/>
      <c r="L44" s="3" t="s">
        <v>1128</v>
      </c>
    </row>
    <row r="45" spans="1:12" ht="82" customHeight="1" x14ac:dyDescent="0.2">
      <c r="A45" s="1">
        <v>44</v>
      </c>
      <c r="B45" s="2" t="s">
        <v>1129</v>
      </c>
      <c r="C45" s="1">
        <v>2023</v>
      </c>
      <c r="D45" s="3" t="s">
        <v>1130</v>
      </c>
      <c r="E45" s="3" t="s">
        <v>1131</v>
      </c>
      <c r="F45" s="3" t="s">
        <v>1132</v>
      </c>
      <c r="G45" s="3" t="s">
        <v>1133</v>
      </c>
      <c r="H45" s="3" t="s">
        <v>852</v>
      </c>
      <c r="I45" s="3" t="s">
        <v>18</v>
      </c>
      <c r="J45" s="3" t="s">
        <v>1134</v>
      </c>
      <c r="K45" s="1" t="s">
        <v>27</v>
      </c>
      <c r="L45" s="3" t="s">
        <v>1135</v>
      </c>
    </row>
    <row r="46" spans="1:12" ht="82" customHeight="1" x14ac:dyDescent="0.2">
      <c r="A46" s="1">
        <v>45</v>
      </c>
      <c r="B46" s="2" t="s">
        <v>384</v>
      </c>
      <c r="C46" s="1">
        <v>2023</v>
      </c>
      <c r="D46" s="3" t="s">
        <v>1136</v>
      </c>
      <c r="E46" s="3" t="s">
        <v>1137</v>
      </c>
      <c r="F46" s="3" t="s">
        <v>1138</v>
      </c>
      <c r="G46" s="3" t="s">
        <v>1139</v>
      </c>
      <c r="H46" s="3" t="s">
        <v>852</v>
      </c>
      <c r="I46" s="3" t="s">
        <v>34</v>
      </c>
      <c r="J46" s="3" t="s">
        <v>1140</v>
      </c>
      <c r="K46" s="1"/>
      <c r="L46" s="3" t="s">
        <v>1141</v>
      </c>
    </row>
    <row r="47" spans="1:12" ht="82" customHeight="1" x14ac:dyDescent="0.2">
      <c r="A47" s="1">
        <v>46</v>
      </c>
      <c r="B47" s="2" t="s">
        <v>1142</v>
      </c>
      <c r="C47" s="1">
        <v>2024</v>
      </c>
      <c r="D47" s="3" t="s">
        <v>1143</v>
      </c>
      <c r="E47" s="3" t="s">
        <v>1144</v>
      </c>
      <c r="F47" s="3" t="s">
        <v>1145</v>
      </c>
      <c r="G47" s="3" t="s">
        <v>1146</v>
      </c>
      <c r="H47" s="3" t="s">
        <v>852</v>
      </c>
      <c r="I47" s="3" t="s">
        <v>34</v>
      </c>
      <c r="J47" s="3" t="s">
        <v>1147</v>
      </c>
      <c r="K47" s="1"/>
      <c r="L47" s="3" t="s">
        <v>1148</v>
      </c>
    </row>
    <row r="48" spans="1:12" ht="134" customHeight="1" x14ac:dyDescent="0.2">
      <c r="A48" s="1">
        <v>47</v>
      </c>
      <c r="B48" s="2" t="s">
        <v>1149</v>
      </c>
      <c r="C48" s="1">
        <v>2024</v>
      </c>
      <c r="D48" s="3" t="s">
        <v>1150</v>
      </c>
      <c r="E48" s="3" t="s">
        <v>1151</v>
      </c>
      <c r="F48" s="3" t="s">
        <v>1152</v>
      </c>
      <c r="G48" s="3" t="s">
        <v>1153</v>
      </c>
      <c r="H48" s="3" t="s">
        <v>852</v>
      </c>
      <c r="I48" s="3" t="s">
        <v>18</v>
      </c>
      <c r="J48" s="3" t="s">
        <v>1154</v>
      </c>
      <c r="K48" s="1"/>
      <c r="L48" s="3" t="s">
        <v>1155</v>
      </c>
    </row>
    <row r="49" spans="1:12" ht="95" customHeight="1" x14ac:dyDescent="0.2">
      <c r="A49" s="1">
        <v>48</v>
      </c>
      <c r="B49" s="2" t="s">
        <v>1156</v>
      </c>
      <c r="C49" s="1">
        <v>2024</v>
      </c>
      <c r="D49" s="3" t="s">
        <v>1157</v>
      </c>
      <c r="E49" s="3" t="s">
        <v>1158</v>
      </c>
      <c r="F49" s="3" t="s">
        <v>1159</v>
      </c>
      <c r="G49" s="3" t="s">
        <v>1160</v>
      </c>
      <c r="H49" s="3" t="s">
        <v>852</v>
      </c>
      <c r="I49" s="3" t="s">
        <v>18</v>
      </c>
      <c r="J49" s="3" t="s">
        <v>1161</v>
      </c>
      <c r="K49" s="1"/>
      <c r="L49" s="3" t="s">
        <v>1162</v>
      </c>
    </row>
    <row r="50" spans="1:12" ht="108" customHeight="1" x14ac:dyDescent="0.2">
      <c r="A50" s="1">
        <v>49</v>
      </c>
      <c r="B50" s="2" t="s">
        <v>1163</v>
      </c>
      <c r="C50" s="1">
        <v>2024</v>
      </c>
      <c r="D50" s="3" t="s">
        <v>1164</v>
      </c>
      <c r="E50" s="3" t="s">
        <v>1165</v>
      </c>
      <c r="F50" s="3" t="s">
        <v>1166</v>
      </c>
      <c r="G50" s="3" t="s">
        <v>1167</v>
      </c>
      <c r="H50" s="3" t="s">
        <v>852</v>
      </c>
      <c r="I50" s="3" t="s">
        <v>18</v>
      </c>
      <c r="J50" s="3" t="s">
        <v>1168</v>
      </c>
      <c r="K50" s="1"/>
      <c r="L50" s="3" t="s">
        <v>1169</v>
      </c>
    </row>
    <row r="51" spans="1:12" ht="95" customHeight="1" x14ac:dyDescent="0.2">
      <c r="A51" s="1">
        <v>50</v>
      </c>
      <c r="B51" s="2" t="s">
        <v>1170</v>
      </c>
      <c r="C51" s="1">
        <v>2024</v>
      </c>
      <c r="D51" s="3" t="s">
        <v>1171</v>
      </c>
      <c r="E51" s="3" t="s">
        <v>1172</v>
      </c>
      <c r="F51" s="3" t="s">
        <v>1173</v>
      </c>
      <c r="G51" s="3" t="s">
        <v>1174</v>
      </c>
      <c r="H51" s="3" t="s">
        <v>852</v>
      </c>
      <c r="I51" s="3" t="s">
        <v>93</v>
      </c>
      <c r="J51" s="3" t="s">
        <v>1175</v>
      </c>
      <c r="K51" s="1"/>
      <c r="L51" s="3" t="s">
        <v>1176</v>
      </c>
    </row>
    <row r="52" spans="1:12" ht="108" customHeight="1" x14ac:dyDescent="0.2">
      <c r="A52" s="1">
        <v>51</v>
      </c>
      <c r="B52" s="2" t="s">
        <v>625</v>
      </c>
      <c r="C52" s="1">
        <v>2024</v>
      </c>
      <c r="D52" s="3" t="s">
        <v>1177</v>
      </c>
      <c r="E52" s="3" t="s">
        <v>1178</v>
      </c>
      <c r="F52" s="3" t="s">
        <v>1179</v>
      </c>
      <c r="G52" s="3" t="s">
        <v>1180</v>
      </c>
      <c r="H52" s="3" t="s">
        <v>852</v>
      </c>
      <c r="I52" s="3" t="s">
        <v>93</v>
      </c>
      <c r="J52" s="3" t="s">
        <v>1181</v>
      </c>
      <c r="K52" s="1"/>
      <c r="L52" s="3" t="s">
        <v>1182</v>
      </c>
    </row>
    <row r="53" spans="1:12" ht="82" customHeight="1" x14ac:dyDescent="0.2">
      <c r="A53" s="1">
        <v>52</v>
      </c>
      <c r="B53" s="2" t="s">
        <v>1183</v>
      </c>
      <c r="C53" s="1">
        <v>2024</v>
      </c>
      <c r="D53" s="3" t="s">
        <v>1184</v>
      </c>
      <c r="E53" s="3" t="s">
        <v>1185</v>
      </c>
      <c r="F53" s="3" t="s">
        <v>1186</v>
      </c>
      <c r="G53" s="3" t="s">
        <v>1187</v>
      </c>
      <c r="H53" s="3" t="s">
        <v>852</v>
      </c>
      <c r="I53" s="3" t="s">
        <v>18</v>
      </c>
      <c r="J53" s="3" t="s">
        <v>1188</v>
      </c>
      <c r="K53" s="1"/>
      <c r="L53" s="3" t="s">
        <v>1189</v>
      </c>
    </row>
    <row r="54" spans="1:12" ht="82" customHeight="1" x14ac:dyDescent="0.2">
      <c r="A54" s="1">
        <v>53</v>
      </c>
      <c r="B54" s="2" t="s">
        <v>1190</v>
      </c>
      <c r="C54" s="1">
        <v>2024</v>
      </c>
      <c r="D54" s="3" t="s">
        <v>1191</v>
      </c>
      <c r="E54" s="3" t="s">
        <v>1192</v>
      </c>
      <c r="F54" s="3" t="s">
        <v>1193</v>
      </c>
      <c r="G54" s="3" t="s">
        <v>1194</v>
      </c>
      <c r="H54" s="3" t="s">
        <v>852</v>
      </c>
      <c r="I54" s="3" t="s">
        <v>18</v>
      </c>
      <c r="J54" s="3" t="s">
        <v>1195</v>
      </c>
      <c r="K54" s="1" t="s">
        <v>27</v>
      </c>
      <c r="L54" s="3" t="s">
        <v>1196</v>
      </c>
    </row>
    <row r="55" spans="1:12" ht="108" customHeight="1" x14ac:dyDescent="0.2">
      <c r="A55" s="1">
        <v>54</v>
      </c>
      <c r="B55" s="2" t="s">
        <v>876</v>
      </c>
      <c r="C55" s="1">
        <v>2024</v>
      </c>
      <c r="D55" s="3" t="s">
        <v>1197</v>
      </c>
      <c r="E55" s="3" t="s">
        <v>1198</v>
      </c>
      <c r="F55" s="3" t="s">
        <v>1199</v>
      </c>
      <c r="G55" s="3" t="s">
        <v>1200</v>
      </c>
      <c r="H55" s="3" t="s">
        <v>852</v>
      </c>
      <c r="I55" s="3" t="s">
        <v>93</v>
      </c>
      <c r="J55" s="3" t="s">
        <v>1201</v>
      </c>
      <c r="K55" s="1"/>
      <c r="L55" s="3" t="s">
        <v>1202</v>
      </c>
    </row>
    <row r="56" spans="1:12" ht="95" customHeight="1" x14ac:dyDescent="0.2">
      <c r="A56" s="1">
        <v>55</v>
      </c>
      <c r="B56" s="2" t="s">
        <v>876</v>
      </c>
      <c r="C56" s="1">
        <v>2024</v>
      </c>
      <c r="D56" s="3" t="s">
        <v>1203</v>
      </c>
      <c r="E56" s="3" t="s">
        <v>1204</v>
      </c>
      <c r="F56" s="3" t="s">
        <v>1205</v>
      </c>
      <c r="G56" s="3" t="s">
        <v>1206</v>
      </c>
      <c r="H56" s="3" t="s">
        <v>852</v>
      </c>
      <c r="I56" s="3" t="s">
        <v>93</v>
      </c>
      <c r="J56" s="3" t="s">
        <v>1207</v>
      </c>
      <c r="K56" s="1"/>
      <c r="L56" s="3" t="s">
        <v>1208</v>
      </c>
    </row>
    <row r="57" spans="1:12" ht="82" customHeight="1" x14ac:dyDescent="0.2">
      <c r="A57" s="1">
        <v>56</v>
      </c>
      <c r="B57" s="2" t="s">
        <v>876</v>
      </c>
      <c r="C57" s="1">
        <v>2024</v>
      </c>
      <c r="D57" s="3" t="s">
        <v>1209</v>
      </c>
      <c r="E57" s="3" t="s">
        <v>1210</v>
      </c>
      <c r="F57" s="3" t="s">
        <v>1211</v>
      </c>
      <c r="G57" s="3" t="s">
        <v>1212</v>
      </c>
      <c r="H57" s="3" t="s">
        <v>852</v>
      </c>
      <c r="I57" s="3" t="s">
        <v>93</v>
      </c>
      <c r="J57" s="3" t="s">
        <v>1213</v>
      </c>
      <c r="K57" s="1"/>
      <c r="L57" s="3" t="s">
        <v>1214</v>
      </c>
    </row>
    <row r="58" spans="1:12" ht="95" customHeight="1" x14ac:dyDescent="0.2">
      <c r="A58" s="1">
        <v>57</v>
      </c>
      <c r="B58" s="2" t="s">
        <v>1215</v>
      </c>
      <c r="C58" s="1">
        <v>2024</v>
      </c>
      <c r="D58" s="3" t="s">
        <v>1216</v>
      </c>
      <c r="E58" s="3" t="s">
        <v>1217</v>
      </c>
      <c r="F58" s="3" t="s">
        <v>1218</v>
      </c>
      <c r="G58" s="3" t="s">
        <v>1219</v>
      </c>
      <c r="H58" s="3" t="s">
        <v>852</v>
      </c>
      <c r="I58" s="3" t="s">
        <v>93</v>
      </c>
      <c r="J58" s="3" t="s">
        <v>1220</v>
      </c>
      <c r="K58" s="1"/>
      <c r="L58" s="3" t="s">
        <v>1221</v>
      </c>
    </row>
    <row r="59" spans="1:12" ht="82" customHeight="1" x14ac:dyDescent="0.2">
      <c r="A59" s="1">
        <v>58</v>
      </c>
      <c r="B59" s="2" t="s">
        <v>1222</v>
      </c>
      <c r="C59" s="1">
        <v>2024</v>
      </c>
      <c r="D59" s="3" t="s">
        <v>1223</v>
      </c>
      <c r="E59" s="3" t="s">
        <v>1224</v>
      </c>
      <c r="F59" s="3" t="s">
        <v>1225</v>
      </c>
      <c r="G59" s="3" t="s">
        <v>1226</v>
      </c>
      <c r="H59" s="3" t="s">
        <v>852</v>
      </c>
      <c r="I59" s="3" t="s">
        <v>18</v>
      </c>
      <c r="J59" s="3" t="s">
        <v>1227</v>
      </c>
      <c r="K59" s="1"/>
      <c r="L59" s="3" t="s">
        <v>1228</v>
      </c>
    </row>
    <row r="60" spans="1:12" ht="82" customHeight="1" x14ac:dyDescent="0.2">
      <c r="A60" s="1">
        <v>59</v>
      </c>
      <c r="B60" s="2" t="s">
        <v>1229</v>
      </c>
      <c r="C60" s="1">
        <v>2024</v>
      </c>
      <c r="D60" s="3" t="s">
        <v>1230</v>
      </c>
      <c r="E60" s="3" t="s">
        <v>1231</v>
      </c>
      <c r="F60" s="3" t="s">
        <v>1232</v>
      </c>
      <c r="G60" s="3" t="s">
        <v>1233</v>
      </c>
      <c r="H60" s="3" t="s">
        <v>852</v>
      </c>
      <c r="I60" s="3" t="s">
        <v>93</v>
      </c>
      <c r="J60" s="3" t="s">
        <v>1234</v>
      </c>
      <c r="K60" s="1"/>
      <c r="L60" s="3" t="s">
        <v>1235</v>
      </c>
    </row>
    <row r="61" spans="1:12" ht="95" customHeight="1" x14ac:dyDescent="0.2">
      <c r="A61" s="1">
        <v>60</v>
      </c>
      <c r="B61" s="2" t="s">
        <v>1236</v>
      </c>
      <c r="C61" s="1">
        <v>2024</v>
      </c>
      <c r="D61" s="3" t="s">
        <v>1237</v>
      </c>
      <c r="E61" s="3" t="s">
        <v>1238</v>
      </c>
      <c r="F61" s="3" t="s">
        <v>1239</v>
      </c>
      <c r="G61" s="3" t="s">
        <v>1240</v>
      </c>
      <c r="H61" s="3" t="s">
        <v>852</v>
      </c>
      <c r="I61" s="3" t="s">
        <v>93</v>
      </c>
      <c r="J61" s="3" t="s">
        <v>1241</v>
      </c>
      <c r="K61" s="1"/>
      <c r="L61" s="3" t="s">
        <v>1242</v>
      </c>
    </row>
    <row r="62" spans="1:12" ht="82" customHeight="1" x14ac:dyDescent="0.2">
      <c r="A62" s="1">
        <v>61</v>
      </c>
      <c r="B62" s="2" t="s">
        <v>1243</v>
      </c>
      <c r="C62" s="1">
        <v>2024</v>
      </c>
      <c r="D62" s="3" t="s">
        <v>1244</v>
      </c>
      <c r="E62" s="3" t="s">
        <v>1245</v>
      </c>
      <c r="F62" s="3" t="s">
        <v>1246</v>
      </c>
      <c r="G62" s="3" t="s">
        <v>1247</v>
      </c>
      <c r="H62" s="3" t="s">
        <v>852</v>
      </c>
      <c r="I62" s="3" t="s">
        <v>34</v>
      </c>
      <c r="J62" s="3" t="s">
        <v>1248</v>
      </c>
      <c r="K62" s="1"/>
      <c r="L62" s="3" t="s">
        <v>1249</v>
      </c>
    </row>
    <row r="63" spans="1:12" ht="95" customHeight="1" x14ac:dyDescent="0.2">
      <c r="A63" s="1">
        <v>62</v>
      </c>
      <c r="B63" s="2" t="s">
        <v>1250</v>
      </c>
      <c r="C63" s="1">
        <v>2024</v>
      </c>
      <c r="D63" s="3" t="s">
        <v>1251</v>
      </c>
      <c r="E63" s="3" t="s">
        <v>1252</v>
      </c>
      <c r="F63" s="3" t="s">
        <v>1253</v>
      </c>
      <c r="G63" s="3" t="s">
        <v>1254</v>
      </c>
      <c r="H63" s="3" t="s">
        <v>852</v>
      </c>
      <c r="I63" s="3" t="s">
        <v>34</v>
      </c>
      <c r="J63" s="3" t="s">
        <v>1255</v>
      </c>
      <c r="K63" s="1"/>
      <c r="L63" s="3" t="s">
        <v>1256</v>
      </c>
    </row>
    <row r="64" spans="1:12" ht="95" customHeight="1" x14ac:dyDescent="0.2">
      <c r="A64" s="1">
        <v>63</v>
      </c>
      <c r="B64" s="2" t="s">
        <v>164</v>
      </c>
      <c r="C64" s="1">
        <v>2024</v>
      </c>
      <c r="D64" s="3" t="s">
        <v>1257</v>
      </c>
      <c r="E64" s="3" t="s">
        <v>1258</v>
      </c>
      <c r="F64" s="3" t="s">
        <v>1259</v>
      </c>
      <c r="G64" s="3" t="s">
        <v>1260</v>
      </c>
      <c r="H64" s="3" t="s">
        <v>852</v>
      </c>
      <c r="I64" s="3" t="s">
        <v>85</v>
      </c>
      <c r="J64" s="3" t="s">
        <v>1261</v>
      </c>
      <c r="K64" s="1"/>
      <c r="L64" s="3" t="s">
        <v>1262</v>
      </c>
    </row>
    <row r="65" spans="1:12" ht="108" customHeight="1" x14ac:dyDescent="0.2">
      <c r="A65" s="1">
        <v>64</v>
      </c>
      <c r="B65" s="2" t="s">
        <v>1263</v>
      </c>
      <c r="C65" s="1">
        <v>2024</v>
      </c>
      <c r="D65" s="3" t="s">
        <v>1264</v>
      </c>
      <c r="E65" s="3" t="s">
        <v>1265</v>
      </c>
      <c r="F65" s="3" t="s">
        <v>1266</v>
      </c>
      <c r="G65" s="3" t="s">
        <v>1267</v>
      </c>
      <c r="H65" s="3" t="s">
        <v>852</v>
      </c>
      <c r="I65" s="3" t="s">
        <v>34</v>
      </c>
      <c r="J65" s="3" t="s">
        <v>1268</v>
      </c>
      <c r="K65" s="1"/>
      <c r="L65" s="3" t="s">
        <v>1269</v>
      </c>
    </row>
    <row r="66" spans="1:12" ht="82" customHeight="1" x14ac:dyDescent="0.2">
      <c r="A66" s="1">
        <v>65</v>
      </c>
      <c r="B66" s="2" t="s">
        <v>1270</v>
      </c>
      <c r="C66" s="1">
        <v>2025</v>
      </c>
      <c r="D66" s="3" t="s">
        <v>1271</v>
      </c>
      <c r="E66" s="3" t="s">
        <v>1272</v>
      </c>
      <c r="F66" s="3" t="s">
        <v>1273</v>
      </c>
      <c r="G66" s="3" t="s">
        <v>1274</v>
      </c>
      <c r="H66" s="3" t="s">
        <v>852</v>
      </c>
      <c r="I66" s="3" t="s">
        <v>34</v>
      </c>
      <c r="J66" s="3" t="s">
        <v>1275</v>
      </c>
      <c r="K66" s="1" t="s">
        <v>27</v>
      </c>
      <c r="L66" s="3" t="s">
        <v>1276</v>
      </c>
    </row>
    <row r="67" spans="1:12" ht="108" customHeight="1" x14ac:dyDescent="0.2">
      <c r="A67" s="1">
        <v>66</v>
      </c>
      <c r="B67" s="2" t="s">
        <v>1277</v>
      </c>
      <c r="C67" s="1">
        <v>2025</v>
      </c>
      <c r="D67" s="3" t="s">
        <v>1278</v>
      </c>
      <c r="E67" s="3" t="s">
        <v>1279</v>
      </c>
      <c r="F67" s="3" t="s">
        <v>1280</v>
      </c>
      <c r="G67" s="3" t="s">
        <v>1281</v>
      </c>
      <c r="H67" s="3" t="s">
        <v>852</v>
      </c>
      <c r="I67" s="3" t="s">
        <v>85</v>
      </c>
      <c r="J67" s="3" t="s">
        <v>1282</v>
      </c>
      <c r="K67" s="1"/>
      <c r="L67" s="3" t="s">
        <v>1283</v>
      </c>
    </row>
    <row r="68" spans="1:12" ht="95" customHeight="1" x14ac:dyDescent="0.2">
      <c r="A68" s="1">
        <v>67</v>
      </c>
      <c r="B68" s="2" t="s">
        <v>1284</v>
      </c>
      <c r="C68" s="1">
        <v>2025</v>
      </c>
      <c r="D68" s="3" t="s">
        <v>1285</v>
      </c>
      <c r="E68" s="3" t="s">
        <v>1286</v>
      </c>
      <c r="F68" s="3" t="s">
        <v>1287</v>
      </c>
      <c r="G68" s="3" t="s">
        <v>1288</v>
      </c>
      <c r="H68" s="3" t="s">
        <v>852</v>
      </c>
      <c r="I68" s="3" t="s">
        <v>18</v>
      </c>
      <c r="J68" s="3" t="s">
        <v>1289</v>
      </c>
      <c r="K68" s="1" t="s">
        <v>27</v>
      </c>
      <c r="L68" s="3" t="s">
        <v>1290</v>
      </c>
    </row>
    <row r="69" spans="1:12" ht="108" customHeight="1" x14ac:dyDescent="0.2">
      <c r="A69" s="1">
        <v>68</v>
      </c>
      <c r="B69" s="2" t="s">
        <v>272</v>
      </c>
      <c r="C69" s="1">
        <v>2025</v>
      </c>
      <c r="D69" s="3" t="s">
        <v>1291</v>
      </c>
      <c r="E69" s="3" t="s">
        <v>1292</v>
      </c>
      <c r="F69" s="3" t="s">
        <v>1293</v>
      </c>
      <c r="G69" s="3" t="s">
        <v>1294</v>
      </c>
      <c r="H69" s="3" t="s">
        <v>852</v>
      </c>
      <c r="I69" s="3" t="s">
        <v>18</v>
      </c>
      <c r="J69" s="3" t="s">
        <v>1295</v>
      </c>
      <c r="K69" s="1"/>
      <c r="L69" s="3" t="s">
        <v>1296</v>
      </c>
    </row>
    <row r="70" spans="1:12" ht="95" customHeight="1" x14ac:dyDescent="0.2">
      <c r="A70" s="1">
        <v>69</v>
      </c>
      <c r="B70" s="2" t="s">
        <v>1297</v>
      </c>
      <c r="C70" s="1">
        <v>2025</v>
      </c>
      <c r="D70" s="3" t="s">
        <v>1298</v>
      </c>
      <c r="E70" s="3" t="s">
        <v>1299</v>
      </c>
      <c r="F70" s="3" t="s">
        <v>1300</v>
      </c>
      <c r="G70" s="3" t="s">
        <v>1301</v>
      </c>
      <c r="H70" s="3" t="s">
        <v>852</v>
      </c>
      <c r="I70" s="3" t="s">
        <v>18</v>
      </c>
      <c r="J70" s="3" t="s">
        <v>1302</v>
      </c>
      <c r="K70" s="1" t="s">
        <v>27</v>
      </c>
      <c r="L70" s="3" t="s">
        <v>1303</v>
      </c>
    </row>
    <row r="71" spans="1:12" ht="69" customHeight="1" x14ac:dyDescent="0.2">
      <c r="A71" s="1">
        <v>70</v>
      </c>
      <c r="B71" s="2" t="s">
        <v>1304</v>
      </c>
      <c r="C71" s="1">
        <v>2025</v>
      </c>
      <c r="D71" s="3" t="s">
        <v>1305</v>
      </c>
      <c r="E71" s="3" t="s">
        <v>1306</v>
      </c>
      <c r="F71" s="3" t="s">
        <v>1307</v>
      </c>
      <c r="G71" s="3" t="s">
        <v>1308</v>
      </c>
      <c r="H71" s="3" t="s">
        <v>852</v>
      </c>
      <c r="I71" s="3" t="s">
        <v>93</v>
      </c>
      <c r="J71" s="3" t="s">
        <v>1309</v>
      </c>
      <c r="K71" s="1" t="s">
        <v>27</v>
      </c>
      <c r="L71" s="3" t="s">
        <v>1310</v>
      </c>
    </row>
    <row r="72" spans="1:12" ht="108" customHeight="1" x14ac:dyDescent="0.2">
      <c r="A72" s="1">
        <v>71</v>
      </c>
      <c r="B72" s="2" t="s">
        <v>1311</v>
      </c>
      <c r="C72" s="1">
        <v>2025</v>
      </c>
      <c r="D72" s="3" t="s">
        <v>1312</v>
      </c>
      <c r="E72" s="3" t="s">
        <v>1313</v>
      </c>
      <c r="F72" s="3" t="s">
        <v>1314</v>
      </c>
      <c r="G72" s="3" t="s">
        <v>1315</v>
      </c>
      <c r="H72" s="3" t="s">
        <v>852</v>
      </c>
      <c r="I72" s="3" t="s">
        <v>18</v>
      </c>
      <c r="J72" s="3" t="s">
        <v>1316</v>
      </c>
      <c r="K72" s="1" t="s">
        <v>27</v>
      </c>
      <c r="L72" s="3" t="s">
        <v>1317</v>
      </c>
    </row>
    <row r="73" spans="1:12" ht="95" customHeight="1" x14ac:dyDescent="0.2">
      <c r="A73" s="1">
        <v>72</v>
      </c>
      <c r="B73" s="2" t="s">
        <v>625</v>
      </c>
      <c r="C73" s="1">
        <v>2025</v>
      </c>
      <c r="D73" s="3" t="s">
        <v>1318</v>
      </c>
      <c r="E73" s="3" t="s">
        <v>1319</v>
      </c>
      <c r="F73" s="3" t="s">
        <v>1320</v>
      </c>
      <c r="G73" s="3" t="s">
        <v>1321</v>
      </c>
      <c r="H73" s="3" t="s">
        <v>852</v>
      </c>
      <c r="I73" s="3" t="s">
        <v>18</v>
      </c>
      <c r="J73" s="3" t="s">
        <v>1322</v>
      </c>
      <c r="K73" s="1"/>
      <c r="L73" s="3" t="s">
        <v>1323</v>
      </c>
    </row>
    <row r="74" spans="1:12" ht="121" customHeight="1" x14ac:dyDescent="0.2">
      <c r="A74" s="1">
        <v>73</v>
      </c>
      <c r="B74" s="2" t="s">
        <v>625</v>
      </c>
      <c r="C74" s="1">
        <v>2025</v>
      </c>
      <c r="D74" s="3" t="s">
        <v>1324</v>
      </c>
      <c r="E74" s="3" t="s">
        <v>1325</v>
      </c>
      <c r="F74" s="3" t="s">
        <v>1326</v>
      </c>
      <c r="G74" s="3" t="s">
        <v>1327</v>
      </c>
      <c r="H74" s="3" t="s">
        <v>852</v>
      </c>
      <c r="I74" s="3" t="s">
        <v>56</v>
      </c>
      <c r="J74" s="3" t="s">
        <v>1328</v>
      </c>
      <c r="K74" s="1"/>
      <c r="L74" s="3" t="s">
        <v>1329</v>
      </c>
    </row>
    <row r="75" spans="1:12" ht="95" customHeight="1" x14ac:dyDescent="0.2">
      <c r="A75" s="1">
        <v>74</v>
      </c>
      <c r="B75" s="2" t="s">
        <v>1330</v>
      </c>
      <c r="C75" s="1">
        <v>2025</v>
      </c>
      <c r="D75" s="3" t="s">
        <v>1331</v>
      </c>
      <c r="E75" s="3" t="s">
        <v>1332</v>
      </c>
      <c r="F75" s="3" t="s">
        <v>1333</v>
      </c>
      <c r="G75" s="3" t="s">
        <v>1334</v>
      </c>
      <c r="H75" s="3" t="s">
        <v>852</v>
      </c>
      <c r="I75" s="3" t="s">
        <v>18</v>
      </c>
      <c r="J75" s="3" t="s">
        <v>1335</v>
      </c>
      <c r="K75" s="1" t="s">
        <v>27</v>
      </c>
      <c r="L75" s="3" t="s">
        <v>1336</v>
      </c>
    </row>
    <row r="76" spans="1:12" ht="95" customHeight="1" x14ac:dyDescent="0.2">
      <c r="A76" s="1">
        <v>75</v>
      </c>
      <c r="B76" s="2" t="s">
        <v>1337</v>
      </c>
      <c r="C76" s="1">
        <v>2025</v>
      </c>
      <c r="D76" s="3" t="s">
        <v>1338</v>
      </c>
      <c r="E76" s="3" t="s">
        <v>1339</v>
      </c>
      <c r="F76" s="3" t="s">
        <v>1340</v>
      </c>
      <c r="G76" s="3" t="s">
        <v>1341</v>
      </c>
      <c r="H76" s="3" t="s">
        <v>852</v>
      </c>
      <c r="I76" s="3" t="s">
        <v>18</v>
      </c>
      <c r="J76" s="3" t="s">
        <v>1342</v>
      </c>
      <c r="K76" s="1"/>
      <c r="L76" s="3" t="s">
        <v>1343</v>
      </c>
    </row>
    <row r="77" spans="1:12" ht="82" customHeight="1" x14ac:dyDescent="0.2">
      <c r="A77" s="1">
        <v>76</v>
      </c>
      <c r="B77" s="2" t="s">
        <v>1344</v>
      </c>
      <c r="C77" s="1">
        <v>2025</v>
      </c>
      <c r="D77" s="3" t="s">
        <v>1345</v>
      </c>
      <c r="E77" s="3" t="s">
        <v>1346</v>
      </c>
      <c r="F77" s="3" t="s">
        <v>1347</v>
      </c>
      <c r="G77" s="3" t="s">
        <v>1348</v>
      </c>
      <c r="H77" s="3" t="s">
        <v>852</v>
      </c>
      <c r="I77" s="3" t="s">
        <v>18</v>
      </c>
      <c r="J77" s="3" t="s">
        <v>1349</v>
      </c>
      <c r="K77" s="1"/>
      <c r="L77" s="3" t="s">
        <v>1350</v>
      </c>
    </row>
    <row r="78" spans="1:12" ht="95" customHeight="1" x14ac:dyDescent="0.2">
      <c r="A78" s="1">
        <v>77</v>
      </c>
      <c r="B78" s="2" t="s">
        <v>1351</v>
      </c>
      <c r="C78" s="1">
        <v>2025</v>
      </c>
      <c r="D78" s="3" t="s">
        <v>1352</v>
      </c>
      <c r="E78" s="3" t="s">
        <v>1353</v>
      </c>
      <c r="F78" s="3" t="s">
        <v>1354</v>
      </c>
      <c r="G78" s="3" t="s">
        <v>1355</v>
      </c>
      <c r="H78" s="3" t="s">
        <v>852</v>
      </c>
      <c r="I78" s="3" t="s">
        <v>18</v>
      </c>
      <c r="J78" s="3" t="s">
        <v>1356</v>
      </c>
      <c r="K78" s="1"/>
      <c r="L78" s="3" t="s">
        <v>1357</v>
      </c>
    </row>
    <row r="79" spans="1:12" ht="95" customHeight="1" x14ac:dyDescent="0.2">
      <c r="A79" s="1">
        <v>78</v>
      </c>
      <c r="B79" s="2" t="s">
        <v>384</v>
      </c>
      <c r="C79" s="1">
        <v>2025</v>
      </c>
      <c r="D79" s="3" t="s">
        <v>1358</v>
      </c>
      <c r="E79" s="3" t="s">
        <v>1359</v>
      </c>
      <c r="F79" s="3" t="s">
        <v>1360</v>
      </c>
      <c r="G79" s="3" t="s">
        <v>1361</v>
      </c>
      <c r="H79" s="3" t="s">
        <v>852</v>
      </c>
      <c r="I79" s="3" t="s">
        <v>18</v>
      </c>
      <c r="J79" s="3" t="s">
        <v>1362</v>
      </c>
      <c r="K79" s="1"/>
      <c r="L79" s="3" t="s">
        <v>1363</v>
      </c>
    </row>
    <row r="80" spans="1:12" ht="82" customHeight="1" x14ac:dyDescent="0.2">
      <c r="A80" s="1">
        <v>79</v>
      </c>
      <c r="B80" s="2" t="s">
        <v>164</v>
      </c>
      <c r="C80" s="1">
        <v>2025</v>
      </c>
      <c r="D80" s="3" t="s">
        <v>1364</v>
      </c>
      <c r="E80" s="3" t="s">
        <v>1365</v>
      </c>
      <c r="F80" s="3" t="s">
        <v>1366</v>
      </c>
      <c r="G80" s="3" t="s">
        <v>1367</v>
      </c>
      <c r="H80" s="3" t="s">
        <v>852</v>
      </c>
      <c r="I80" s="3" t="s">
        <v>56</v>
      </c>
      <c r="J80" s="3" t="s">
        <v>1368</v>
      </c>
      <c r="K80" s="1"/>
      <c r="L80" s="3" t="s">
        <v>1369</v>
      </c>
    </row>
    <row r="81" spans="1:12" ht="95" customHeight="1" x14ac:dyDescent="0.2">
      <c r="A81" s="1">
        <v>80</v>
      </c>
      <c r="B81" s="2" t="s">
        <v>265</v>
      </c>
      <c r="C81" s="1">
        <v>2025</v>
      </c>
      <c r="D81" s="3" t="s">
        <v>1370</v>
      </c>
      <c r="E81" s="3" t="s">
        <v>1371</v>
      </c>
      <c r="F81" s="3" t="s">
        <v>1372</v>
      </c>
      <c r="G81" s="3" t="s">
        <v>1373</v>
      </c>
      <c r="H81" s="3" t="s">
        <v>852</v>
      </c>
      <c r="I81" s="3" t="s">
        <v>93</v>
      </c>
      <c r="J81" s="3" t="s">
        <v>1374</v>
      </c>
      <c r="K81" s="1"/>
      <c r="L81" s="3" t="s">
        <v>1375</v>
      </c>
    </row>
    <row r="82" spans="1:12" ht="82" customHeight="1" x14ac:dyDescent="0.2">
      <c r="A82" s="1">
        <v>81</v>
      </c>
      <c r="B82" s="2" t="s">
        <v>321</v>
      </c>
      <c r="C82" s="1">
        <v>2025</v>
      </c>
      <c r="D82" s="3" t="s">
        <v>1376</v>
      </c>
      <c r="E82" s="3" t="s">
        <v>1377</v>
      </c>
      <c r="F82" s="3" t="s">
        <v>1378</v>
      </c>
      <c r="G82" s="3" t="s">
        <v>1379</v>
      </c>
      <c r="H82" s="3" t="s">
        <v>852</v>
      </c>
      <c r="I82" s="3" t="s">
        <v>18</v>
      </c>
      <c r="J82" s="3" t="s">
        <v>1380</v>
      </c>
      <c r="K82" s="1"/>
      <c r="L82" s="3" t="s">
        <v>1381</v>
      </c>
    </row>
    <row r="83" spans="1:12" ht="82" customHeight="1" x14ac:dyDescent="0.2">
      <c r="A83" s="1">
        <v>82</v>
      </c>
      <c r="B83" s="2" t="s">
        <v>272</v>
      </c>
      <c r="C83" s="1">
        <v>2026</v>
      </c>
      <c r="D83" s="3" t="s">
        <v>1382</v>
      </c>
      <c r="E83" s="3" t="s">
        <v>1383</v>
      </c>
      <c r="F83" s="3" t="s">
        <v>1384</v>
      </c>
      <c r="G83" s="3" t="s">
        <v>1385</v>
      </c>
      <c r="H83" s="3" t="s">
        <v>852</v>
      </c>
      <c r="I83" s="3" t="s">
        <v>56</v>
      </c>
      <c r="J83" s="3" t="s">
        <v>1386</v>
      </c>
      <c r="K83" s="1" t="s">
        <v>27</v>
      </c>
      <c r="L83" s="3" t="s">
        <v>1387</v>
      </c>
    </row>
    <row r="84" spans="1:12" ht="108" customHeight="1" x14ac:dyDescent="0.2">
      <c r="A84" s="1">
        <v>83</v>
      </c>
      <c r="B84" s="2" t="s">
        <v>897</v>
      </c>
      <c r="C84" s="1">
        <v>2026</v>
      </c>
      <c r="D84" s="3" t="s">
        <v>1388</v>
      </c>
      <c r="E84" s="3" t="s">
        <v>1389</v>
      </c>
      <c r="F84" s="3" t="s">
        <v>1390</v>
      </c>
      <c r="G84" s="3" t="s">
        <v>1391</v>
      </c>
      <c r="H84" s="3" t="s">
        <v>852</v>
      </c>
      <c r="I84" s="3" t="s">
        <v>56</v>
      </c>
      <c r="J84" s="3" t="s">
        <v>1392</v>
      </c>
      <c r="K84" s="1"/>
      <c r="L84" s="3" t="s">
        <v>1393</v>
      </c>
    </row>
    <row r="85" spans="1:12" ht="82" customHeight="1" x14ac:dyDescent="0.2">
      <c r="A85" s="1">
        <v>84</v>
      </c>
      <c r="B85" s="2" t="s">
        <v>1351</v>
      </c>
      <c r="C85" s="1">
        <v>2026</v>
      </c>
      <c r="D85" s="3" t="s">
        <v>1394</v>
      </c>
      <c r="E85" s="3" t="s">
        <v>1395</v>
      </c>
      <c r="F85" s="3" t="s">
        <v>1396</v>
      </c>
      <c r="G85" s="3" t="s">
        <v>1397</v>
      </c>
      <c r="H85" s="3" t="s">
        <v>852</v>
      </c>
      <c r="I85" s="3" t="s">
        <v>18</v>
      </c>
      <c r="J85" s="3" t="s">
        <v>1398</v>
      </c>
      <c r="K85" s="1"/>
      <c r="L85" s="3" t="s">
        <v>1399</v>
      </c>
    </row>
    <row r="86" spans="1:12" ht="95" customHeight="1" x14ac:dyDescent="0.2">
      <c r="A86" s="1">
        <v>85</v>
      </c>
      <c r="B86" s="2" t="s">
        <v>272</v>
      </c>
      <c r="C86" s="1">
        <v>2020</v>
      </c>
      <c r="D86" s="3" t="s">
        <v>1400</v>
      </c>
      <c r="E86" s="3" t="s">
        <v>1401</v>
      </c>
      <c r="F86" s="3" t="s">
        <v>1402</v>
      </c>
      <c r="G86" s="3" t="s">
        <v>1403</v>
      </c>
      <c r="H86" s="3" t="s">
        <v>1404</v>
      </c>
      <c r="I86" s="3" t="s">
        <v>34</v>
      </c>
      <c r="J86" s="3" t="s">
        <v>1405</v>
      </c>
      <c r="K86" s="1"/>
      <c r="L86" s="3" t="s">
        <v>1406</v>
      </c>
    </row>
    <row r="87" spans="1:12" ht="82" customHeight="1" x14ac:dyDescent="0.2">
      <c r="A87" s="1">
        <v>86</v>
      </c>
      <c r="B87" s="2" t="s">
        <v>1407</v>
      </c>
      <c r="C87" s="1">
        <v>2020</v>
      </c>
      <c r="D87" s="3" t="s">
        <v>1408</v>
      </c>
      <c r="E87" s="3" t="s">
        <v>1409</v>
      </c>
      <c r="F87" s="3" t="s">
        <v>1410</v>
      </c>
      <c r="G87" s="3" t="s">
        <v>1411</v>
      </c>
      <c r="H87" s="3" t="s">
        <v>1404</v>
      </c>
      <c r="I87" s="3" t="s">
        <v>18</v>
      </c>
      <c r="J87" s="3" t="s">
        <v>1412</v>
      </c>
      <c r="K87" s="1"/>
      <c r="L87" s="3" t="s">
        <v>1413</v>
      </c>
    </row>
    <row r="88" spans="1:12" ht="95" customHeight="1" x14ac:dyDescent="0.2">
      <c r="A88" s="1">
        <v>87</v>
      </c>
      <c r="B88" s="2" t="s">
        <v>1344</v>
      </c>
      <c r="C88" s="1">
        <v>2020</v>
      </c>
      <c r="D88" s="3" t="s">
        <v>1414</v>
      </c>
      <c r="E88" s="3" t="s">
        <v>1415</v>
      </c>
      <c r="F88" s="3" t="s">
        <v>1416</v>
      </c>
      <c r="G88" s="3" t="s">
        <v>1417</v>
      </c>
      <c r="H88" s="3" t="s">
        <v>1404</v>
      </c>
      <c r="I88" s="3" t="s">
        <v>18</v>
      </c>
      <c r="J88" s="3" t="s">
        <v>1418</v>
      </c>
      <c r="K88" s="1"/>
      <c r="L88" s="3" t="s">
        <v>1419</v>
      </c>
    </row>
    <row r="89" spans="1:12" ht="95" customHeight="1" x14ac:dyDescent="0.2">
      <c r="A89" s="1">
        <v>88</v>
      </c>
      <c r="B89" s="2" t="s">
        <v>1420</v>
      </c>
      <c r="C89" s="1">
        <v>2020</v>
      </c>
      <c r="D89" s="3" t="s">
        <v>1421</v>
      </c>
      <c r="E89" s="3" t="s">
        <v>1422</v>
      </c>
      <c r="F89" s="3" t="s">
        <v>1423</v>
      </c>
      <c r="G89" s="3" t="s">
        <v>1424</v>
      </c>
      <c r="H89" s="3" t="s">
        <v>1404</v>
      </c>
      <c r="I89" s="3" t="s">
        <v>85</v>
      </c>
      <c r="J89" s="3" t="s">
        <v>1425</v>
      </c>
      <c r="K89" s="1"/>
      <c r="L89" s="3" t="s">
        <v>1426</v>
      </c>
    </row>
    <row r="90" spans="1:12" ht="82" customHeight="1" x14ac:dyDescent="0.2">
      <c r="A90" s="1">
        <v>89</v>
      </c>
      <c r="B90" s="2" t="s">
        <v>178</v>
      </c>
      <c r="C90" s="1">
        <v>2020</v>
      </c>
      <c r="D90" s="3" t="s">
        <v>1427</v>
      </c>
      <c r="E90" s="3" t="s">
        <v>1428</v>
      </c>
      <c r="F90" s="3" t="s">
        <v>1429</v>
      </c>
      <c r="G90" s="3" t="s">
        <v>1430</v>
      </c>
      <c r="H90" s="3" t="s">
        <v>1404</v>
      </c>
      <c r="I90" s="3" t="s">
        <v>18</v>
      </c>
      <c r="J90" s="3" t="s">
        <v>1431</v>
      </c>
      <c r="K90" s="1"/>
      <c r="L90" s="3" t="s">
        <v>1432</v>
      </c>
    </row>
    <row r="91" spans="1:12" ht="82" customHeight="1" x14ac:dyDescent="0.2">
      <c r="A91" s="1">
        <v>90</v>
      </c>
      <c r="B91" s="2" t="s">
        <v>452</v>
      </c>
      <c r="C91" s="1">
        <v>2020</v>
      </c>
      <c r="D91" s="3" t="s">
        <v>1433</v>
      </c>
      <c r="E91" s="3" t="s">
        <v>1434</v>
      </c>
      <c r="F91" s="3" t="s">
        <v>1435</v>
      </c>
      <c r="G91" s="3" t="s">
        <v>1436</v>
      </c>
      <c r="H91" s="3" t="s">
        <v>1404</v>
      </c>
      <c r="I91" s="3" t="s">
        <v>18</v>
      </c>
      <c r="J91" s="3" t="s">
        <v>1437</v>
      </c>
      <c r="K91" s="1"/>
      <c r="L91" s="3" t="s">
        <v>1438</v>
      </c>
    </row>
    <row r="92" spans="1:12" ht="95" customHeight="1" x14ac:dyDescent="0.2">
      <c r="A92" s="1">
        <v>91</v>
      </c>
      <c r="B92" s="2" t="s">
        <v>1439</v>
      </c>
      <c r="C92" s="1">
        <v>2021</v>
      </c>
      <c r="D92" s="3" t="s">
        <v>1440</v>
      </c>
      <c r="E92" s="3" t="s">
        <v>1441</v>
      </c>
      <c r="F92" s="3" t="s">
        <v>1442</v>
      </c>
      <c r="G92" s="3" t="s">
        <v>1443</v>
      </c>
      <c r="H92" s="3" t="s">
        <v>1404</v>
      </c>
      <c r="I92" s="3" t="s">
        <v>34</v>
      </c>
      <c r="J92" s="3" t="s">
        <v>1444</v>
      </c>
      <c r="K92" s="1"/>
      <c r="L92" s="3" t="s">
        <v>1445</v>
      </c>
    </row>
    <row r="93" spans="1:12" ht="82" customHeight="1" x14ac:dyDescent="0.2">
      <c r="A93" s="1">
        <v>92</v>
      </c>
      <c r="B93" s="2" t="s">
        <v>876</v>
      </c>
      <c r="C93" s="1">
        <v>2021</v>
      </c>
      <c r="D93" s="3" t="s">
        <v>1446</v>
      </c>
      <c r="E93" s="3" t="s">
        <v>1447</v>
      </c>
      <c r="F93" s="3" t="s">
        <v>1448</v>
      </c>
      <c r="G93" s="3" t="s">
        <v>1449</v>
      </c>
      <c r="H93" s="3" t="s">
        <v>1404</v>
      </c>
      <c r="I93" s="3" t="s">
        <v>18</v>
      </c>
      <c r="J93" s="3" t="s">
        <v>1450</v>
      </c>
      <c r="K93" s="1"/>
      <c r="L93" s="3" t="s">
        <v>1451</v>
      </c>
    </row>
    <row r="94" spans="1:12" ht="95" customHeight="1" x14ac:dyDescent="0.2">
      <c r="A94" s="1">
        <v>93</v>
      </c>
      <c r="B94" s="2" t="s">
        <v>1452</v>
      </c>
      <c r="C94" s="1">
        <v>2021</v>
      </c>
      <c r="D94" s="3" t="s">
        <v>1453</v>
      </c>
      <c r="E94" s="3" t="s">
        <v>1454</v>
      </c>
      <c r="F94" s="3" t="s">
        <v>1455</v>
      </c>
      <c r="G94" s="3" t="s">
        <v>1456</v>
      </c>
      <c r="H94" s="3" t="s">
        <v>1404</v>
      </c>
      <c r="I94" s="3" t="s">
        <v>85</v>
      </c>
      <c r="J94" s="3" t="s">
        <v>1457</v>
      </c>
      <c r="K94" s="1"/>
      <c r="L94" s="3" t="s">
        <v>1458</v>
      </c>
    </row>
    <row r="95" spans="1:12" ht="82" customHeight="1" x14ac:dyDescent="0.2">
      <c r="A95" s="1">
        <v>94</v>
      </c>
      <c r="B95" s="2" t="s">
        <v>1459</v>
      </c>
      <c r="C95" s="1">
        <v>2021</v>
      </c>
      <c r="D95" s="3" t="s">
        <v>1460</v>
      </c>
      <c r="E95" s="3" t="s">
        <v>1461</v>
      </c>
      <c r="F95" s="3" t="s">
        <v>1462</v>
      </c>
      <c r="G95" s="3" t="s">
        <v>1463</v>
      </c>
      <c r="H95" s="3" t="s">
        <v>1404</v>
      </c>
      <c r="I95" s="3" t="s">
        <v>18</v>
      </c>
      <c r="J95" s="3" t="s">
        <v>1464</v>
      </c>
      <c r="K95" s="1"/>
      <c r="L95" s="3" t="s">
        <v>1465</v>
      </c>
    </row>
    <row r="96" spans="1:12" ht="82" customHeight="1" x14ac:dyDescent="0.2">
      <c r="A96" s="1">
        <v>95</v>
      </c>
      <c r="B96" s="2" t="s">
        <v>1466</v>
      </c>
      <c r="C96" s="1">
        <v>2021</v>
      </c>
      <c r="D96" s="3" t="s">
        <v>1467</v>
      </c>
      <c r="E96" s="3" t="s">
        <v>1468</v>
      </c>
      <c r="F96" s="3" t="s">
        <v>1469</v>
      </c>
      <c r="G96" s="3" t="s">
        <v>1470</v>
      </c>
      <c r="H96" s="3" t="s">
        <v>1404</v>
      </c>
      <c r="I96" s="3" t="s">
        <v>18</v>
      </c>
      <c r="J96" s="3" t="s">
        <v>1471</v>
      </c>
      <c r="K96" s="1"/>
      <c r="L96" s="3" t="s">
        <v>1472</v>
      </c>
    </row>
    <row r="97" spans="1:12" ht="108" customHeight="1" x14ac:dyDescent="0.2">
      <c r="A97" s="1">
        <v>96</v>
      </c>
      <c r="B97" s="2" t="s">
        <v>1473</v>
      </c>
      <c r="C97" s="1">
        <v>2021</v>
      </c>
      <c r="D97" s="3" t="s">
        <v>1474</v>
      </c>
      <c r="E97" s="3" t="s">
        <v>1475</v>
      </c>
      <c r="F97" s="3" t="s">
        <v>1476</v>
      </c>
      <c r="G97" s="3" t="s">
        <v>1477</v>
      </c>
      <c r="H97" s="3" t="s">
        <v>1404</v>
      </c>
      <c r="I97" s="3" t="s">
        <v>34</v>
      </c>
      <c r="J97" s="3" t="s">
        <v>1478</v>
      </c>
      <c r="K97" s="1"/>
      <c r="L97" s="3" t="s">
        <v>1479</v>
      </c>
    </row>
    <row r="98" spans="1:12" ht="82" customHeight="1" x14ac:dyDescent="0.2">
      <c r="A98" s="1">
        <v>97</v>
      </c>
      <c r="B98" s="2" t="s">
        <v>1480</v>
      </c>
      <c r="C98" s="1">
        <v>2022</v>
      </c>
      <c r="D98" s="3" t="s">
        <v>1481</v>
      </c>
      <c r="E98" s="3" t="s">
        <v>1482</v>
      </c>
      <c r="F98" s="3" t="s">
        <v>1483</v>
      </c>
      <c r="G98" s="3" t="s">
        <v>1484</v>
      </c>
      <c r="H98" s="3" t="s">
        <v>1404</v>
      </c>
      <c r="I98" s="3" t="s">
        <v>34</v>
      </c>
      <c r="J98" s="3" t="s">
        <v>1485</v>
      </c>
      <c r="K98" s="1"/>
      <c r="L98" s="3" t="s">
        <v>1486</v>
      </c>
    </row>
    <row r="99" spans="1:12" ht="108" customHeight="1" x14ac:dyDescent="0.2">
      <c r="A99" s="1">
        <v>98</v>
      </c>
      <c r="B99" s="2" t="s">
        <v>164</v>
      </c>
      <c r="C99" s="1">
        <v>2022</v>
      </c>
      <c r="D99" s="3" t="s">
        <v>1487</v>
      </c>
      <c r="E99" s="3" t="s">
        <v>1488</v>
      </c>
      <c r="F99" s="3" t="s">
        <v>1489</v>
      </c>
      <c r="G99" s="3" t="s">
        <v>1490</v>
      </c>
      <c r="H99" s="3" t="s">
        <v>1404</v>
      </c>
      <c r="I99" s="3" t="s">
        <v>93</v>
      </c>
      <c r="J99" s="3" t="s">
        <v>1491</v>
      </c>
      <c r="K99" s="1"/>
      <c r="L99" s="3" t="s">
        <v>1492</v>
      </c>
    </row>
    <row r="100" spans="1:12" ht="82" customHeight="1" x14ac:dyDescent="0.2">
      <c r="A100" s="1">
        <v>99</v>
      </c>
      <c r="B100" s="2" t="s">
        <v>265</v>
      </c>
      <c r="C100" s="1">
        <v>2022</v>
      </c>
      <c r="D100" s="3" t="s">
        <v>1493</v>
      </c>
      <c r="E100" s="3" t="s">
        <v>1494</v>
      </c>
      <c r="F100" s="3" t="s">
        <v>1495</v>
      </c>
      <c r="G100" s="3" t="s">
        <v>1496</v>
      </c>
      <c r="H100" s="3" t="s">
        <v>1404</v>
      </c>
      <c r="I100" s="3" t="s">
        <v>18</v>
      </c>
      <c r="J100" s="3" t="s">
        <v>1497</v>
      </c>
      <c r="K100" s="1"/>
      <c r="L100" s="3" t="s">
        <v>1498</v>
      </c>
    </row>
    <row r="101" spans="1:12" ht="82" customHeight="1" x14ac:dyDescent="0.2">
      <c r="A101" s="1">
        <v>100</v>
      </c>
      <c r="B101" s="2" t="s">
        <v>171</v>
      </c>
      <c r="C101" s="1">
        <v>2022</v>
      </c>
      <c r="D101" s="3" t="s">
        <v>1499</v>
      </c>
      <c r="E101" s="3" t="s">
        <v>1500</v>
      </c>
      <c r="F101" s="3" t="s">
        <v>1501</v>
      </c>
      <c r="G101" s="3" t="s">
        <v>1502</v>
      </c>
      <c r="H101" s="3" t="s">
        <v>1404</v>
      </c>
      <c r="I101" s="3" t="s">
        <v>18</v>
      </c>
      <c r="J101" s="3" t="s">
        <v>1503</v>
      </c>
      <c r="K101" s="1" t="s">
        <v>27</v>
      </c>
      <c r="L101" s="3" t="s">
        <v>1504</v>
      </c>
    </row>
    <row r="102" spans="1:12" ht="95" customHeight="1" x14ac:dyDescent="0.2">
      <c r="A102" s="1">
        <v>101</v>
      </c>
      <c r="B102" s="2" t="s">
        <v>178</v>
      </c>
      <c r="C102" s="1">
        <v>2022</v>
      </c>
      <c r="D102" s="3" t="s">
        <v>1505</v>
      </c>
      <c r="E102" s="3" t="s">
        <v>1506</v>
      </c>
      <c r="F102" s="3" t="s">
        <v>1507</v>
      </c>
      <c r="G102" s="3" t="s">
        <v>1508</v>
      </c>
      <c r="H102" s="3" t="s">
        <v>1404</v>
      </c>
      <c r="I102" s="3" t="s">
        <v>93</v>
      </c>
      <c r="J102" s="3" t="s">
        <v>1509</v>
      </c>
      <c r="K102" s="1"/>
      <c r="L102" s="3" t="s">
        <v>1510</v>
      </c>
    </row>
    <row r="103" spans="1:12" ht="108" customHeight="1" x14ac:dyDescent="0.2">
      <c r="A103" s="1">
        <v>102</v>
      </c>
      <c r="B103" s="2" t="s">
        <v>178</v>
      </c>
      <c r="C103" s="1">
        <v>2022</v>
      </c>
      <c r="D103" s="3" t="s">
        <v>1511</v>
      </c>
      <c r="E103" s="3" t="s">
        <v>1512</v>
      </c>
      <c r="F103" s="3" t="s">
        <v>1513</v>
      </c>
      <c r="G103" s="3" t="s">
        <v>1514</v>
      </c>
      <c r="H103" s="3" t="s">
        <v>1404</v>
      </c>
      <c r="I103" s="3" t="s">
        <v>18</v>
      </c>
      <c r="J103" s="3" t="s">
        <v>1515</v>
      </c>
      <c r="K103" s="1"/>
      <c r="L103" s="3" t="s">
        <v>1516</v>
      </c>
    </row>
    <row r="104" spans="1:12" ht="82" customHeight="1" x14ac:dyDescent="0.2">
      <c r="A104" s="1">
        <v>103</v>
      </c>
      <c r="B104" s="2" t="s">
        <v>1517</v>
      </c>
      <c r="C104" s="1">
        <v>2022</v>
      </c>
      <c r="D104" s="3" t="s">
        <v>1518</v>
      </c>
      <c r="E104" s="3" t="s">
        <v>1519</v>
      </c>
      <c r="F104" s="3" t="s">
        <v>1520</v>
      </c>
      <c r="G104" s="3" t="s">
        <v>1521</v>
      </c>
      <c r="H104" s="3" t="s">
        <v>1404</v>
      </c>
      <c r="I104" s="3" t="s">
        <v>18</v>
      </c>
      <c r="J104" s="3" t="s">
        <v>1522</v>
      </c>
      <c r="K104" s="1"/>
      <c r="L104" s="3" t="s">
        <v>1523</v>
      </c>
    </row>
    <row r="105" spans="1:12" ht="95" customHeight="1" x14ac:dyDescent="0.2">
      <c r="A105" s="1">
        <v>104</v>
      </c>
      <c r="B105" s="2" t="s">
        <v>1524</v>
      </c>
      <c r="C105" s="1">
        <v>2023</v>
      </c>
      <c r="D105" s="3" t="s">
        <v>1525</v>
      </c>
      <c r="E105" s="3" t="s">
        <v>1526</v>
      </c>
      <c r="F105" s="3" t="s">
        <v>1527</v>
      </c>
      <c r="G105" s="3" t="s">
        <v>1528</v>
      </c>
      <c r="H105" s="3" t="s">
        <v>1404</v>
      </c>
      <c r="I105" s="3" t="s">
        <v>85</v>
      </c>
      <c r="J105" s="3" t="s">
        <v>1529</v>
      </c>
      <c r="K105" s="1"/>
      <c r="L105" s="3" t="s">
        <v>1530</v>
      </c>
    </row>
    <row r="106" spans="1:12" ht="82" customHeight="1" x14ac:dyDescent="0.2">
      <c r="A106" s="1">
        <v>105</v>
      </c>
      <c r="B106" s="2" t="s">
        <v>1531</v>
      </c>
      <c r="C106" s="1">
        <v>2023</v>
      </c>
      <c r="D106" s="3" t="s">
        <v>1532</v>
      </c>
      <c r="E106" s="3" t="s">
        <v>1533</v>
      </c>
      <c r="F106" s="3" t="s">
        <v>1534</v>
      </c>
      <c r="G106" s="3" t="s">
        <v>1535</v>
      </c>
      <c r="H106" s="3" t="s">
        <v>1404</v>
      </c>
      <c r="I106" s="3" t="s">
        <v>18</v>
      </c>
      <c r="J106" s="3" t="s">
        <v>1536</v>
      </c>
      <c r="K106" s="1"/>
      <c r="L106" s="3" t="s">
        <v>1537</v>
      </c>
    </row>
    <row r="107" spans="1:12" ht="82" customHeight="1" x14ac:dyDescent="0.2">
      <c r="A107" s="1">
        <v>106</v>
      </c>
      <c r="B107" s="2" t="s">
        <v>1538</v>
      </c>
      <c r="C107" s="1">
        <v>2023</v>
      </c>
      <c r="D107" s="3" t="s">
        <v>1539</v>
      </c>
      <c r="E107" s="3" t="s">
        <v>1540</v>
      </c>
      <c r="F107" s="3" t="s">
        <v>1541</v>
      </c>
      <c r="G107" s="3" t="s">
        <v>1542</v>
      </c>
      <c r="H107" s="3" t="s">
        <v>1404</v>
      </c>
      <c r="I107" s="3" t="s">
        <v>18</v>
      </c>
      <c r="J107" s="3" t="s">
        <v>1543</v>
      </c>
      <c r="K107" s="1"/>
      <c r="L107" s="3" t="s">
        <v>1544</v>
      </c>
    </row>
    <row r="108" spans="1:12" ht="82" customHeight="1" x14ac:dyDescent="0.2">
      <c r="A108" s="1">
        <v>107</v>
      </c>
      <c r="B108" s="2" t="s">
        <v>1545</v>
      </c>
      <c r="C108" s="1">
        <v>2023</v>
      </c>
      <c r="D108" s="3" t="s">
        <v>1546</v>
      </c>
      <c r="E108" s="3" t="s">
        <v>1547</v>
      </c>
      <c r="F108" s="3" t="s">
        <v>1548</v>
      </c>
      <c r="G108" s="3" t="s">
        <v>1549</v>
      </c>
      <c r="H108" s="3" t="s">
        <v>1404</v>
      </c>
      <c r="I108" s="3" t="s">
        <v>18</v>
      </c>
      <c r="J108" s="3" t="s">
        <v>1550</v>
      </c>
      <c r="K108" s="1"/>
      <c r="L108" s="3" t="s">
        <v>1551</v>
      </c>
    </row>
    <row r="109" spans="1:12" ht="108" customHeight="1" x14ac:dyDescent="0.2">
      <c r="A109" s="1">
        <v>108</v>
      </c>
      <c r="B109" s="2" t="s">
        <v>1552</v>
      </c>
      <c r="C109" s="1">
        <v>2023</v>
      </c>
      <c r="D109" s="3" t="s">
        <v>1553</v>
      </c>
      <c r="E109" s="3" t="s">
        <v>1554</v>
      </c>
      <c r="F109" s="3" t="s">
        <v>1555</v>
      </c>
      <c r="G109" s="3" t="s">
        <v>1556</v>
      </c>
      <c r="H109" s="3" t="s">
        <v>1404</v>
      </c>
      <c r="I109" s="3" t="s">
        <v>34</v>
      </c>
      <c r="J109" s="3" t="s">
        <v>1557</v>
      </c>
      <c r="K109" s="1"/>
      <c r="L109" s="3" t="s">
        <v>1558</v>
      </c>
    </row>
    <row r="110" spans="1:12" ht="121" customHeight="1" x14ac:dyDescent="0.2">
      <c r="A110" s="1">
        <v>109</v>
      </c>
      <c r="B110" s="2" t="s">
        <v>1559</v>
      </c>
      <c r="C110" s="1">
        <v>2023</v>
      </c>
      <c r="D110" s="3" t="s">
        <v>1560</v>
      </c>
      <c r="E110" s="3" t="s">
        <v>1561</v>
      </c>
      <c r="F110" s="3" t="s">
        <v>1562</v>
      </c>
      <c r="G110" s="3" t="s">
        <v>1563</v>
      </c>
      <c r="H110" s="3" t="s">
        <v>1404</v>
      </c>
      <c r="I110" s="3" t="s">
        <v>93</v>
      </c>
      <c r="J110" s="3" t="s">
        <v>1564</v>
      </c>
      <c r="K110" s="1"/>
      <c r="L110" s="3" t="s">
        <v>1565</v>
      </c>
    </row>
    <row r="111" spans="1:12" ht="95" customHeight="1" x14ac:dyDescent="0.2">
      <c r="A111" s="1">
        <v>110</v>
      </c>
      <c r="B111" s="2" t="s">
        <v>1566</v>
      </c>
      <c r="C111" s="1">
        <v>2023</v>
      </c>
      <c r="D111" s="3" t="s">
        <v>1567</v>
      </c>
      <c r="E111" s="3" t="s">
        <v>1568</v>
      </c>
      <c r="F111" s="3" t="s">
        <v>1569</v>
      </c>
      <c r="G111" s="3" t="s">
        <v>1570</v>
      </c>
      <c r="H111" s="3" t="s">
        <v>1404</v>
      </c>
      <c r="I111" s="3" t="s">
        <v>93</v>
      </c>
      <c r="J111" s="3" t="s">
        <v>1571</v>
      </c>
      <c r="K111" s="1"/>
      <c r="L111" s="3" t="s">
        <v>1572</v>
      </c>
    </row>
    <row r="112" spans="1:12" ht="95" customHeight="1" x14ac:dyDescent="0.2">
      <c r="A112" s="1">
        <v>111</v>
      </c>
      <c r="B112" s="2" t="s">
        <v>1566</v>
      </c>
      <c r="C112" s="1">
        <v>2023</v>
      </c>
      <c r="D112" s="3" t="s">
        <v>1573</v>
      </c>
      <c r="E112" s="3" t="s">
        <v>1574</v>
      </c>
      <c r="F112" s="3" t="s">
        <v>1575</v>
      </c>
      <c r="G112" s="3" t="s">
        <v>1576</v>
      </c>
      <c r="H112" s="3" t="s">
        <v>1404</v>
      </c>
      <c r="I112" s="3" t="s">
        <v>93</v>
      </c>
      <c r="J112" s="3" t="s">
        <v>1577</v>
      </c>
      <c r="K112" s="1"/>
      <c r="L112" s="3" t="s">
        <v>1578</v>
      </c>
    </row>
    <row r="113" spans="1:12" ht="69" customHeight="1" x14ac:dyDescent="0.2">
      <c r="A113" s="1">
        <v>112</v>
      </c>
      <c r="B113" s="2" t="s">
        <v>1579</v>
      </c>
      <c r="C113" s="1">
        <v>2024</v>
      </c>
      <c r="D113" s="3" t="s">
        <v>1580</v>
      </c>
      <c r="E113" s="3" t="s">
        <v>1581</v>
      </c>
      <c r="F113" s="3" t="s">
        <v>1582</v>
      </c>
      <c r="G113" s="3" t="s">
        <v>1583</v>
      </c>
      <c r="H113" s="3" t="s">
        <v>1404</v>
      </c>
      <c r="I113" s="3" t="s">
        <v>18</v>
      </c>
      <c r="J113" s="3" t="s">
        <v>1584</v>
      </c>
      <c r="K113" s="1"/>
      <c r="L113" s="3" t="s">
        <v>1585</v>
      </c>
    </row>
    <row r="114" spans="1:12" ht="69" customHeight="1" x14ac:dyDescent="0.2">
      <c r="A114" s="1">
        <v>113</v>
      </c>
      <c r="B114" s="2" t="s">
        <v>876</v>
      </c>
      <c r="C114" s="1">
        <v>2024</v>
      </c>
      <c r="D114" s="3" t="s">
        <v>1586</v>
      </c>
      <c r="E114" s="3" t="s">
        <v>1587</v>
      </c>
      <c r="F114" s="3" t="s">
        <v>1588</v>
      </c>
      <c r="G114" s="3" t="s">
        <v>1589</v>
      </c>
      <c r="H114" s="3" t="s">
        <v>1404</v>
      </c>
      <c r="I114" s="3" t="s">
        <v>34</v>
      </c>
      <c r="J114" s="3" t="s">
        <v>1590</v>
      </c>
      <c r="K114" s="1"/>
      <c r="L114" s="3" t="s">
        <v>1591</v>
      </c>
    </row>
    <row r="115" spans="1:12" ht="95" customHeight="1" x14ac:dyDescent="0.2">
      <c r="A115" s="1">
        <v>114</v>
      </c>
      <c r="B115" s="2" t="s">
        <v>73</v>
      </c>
      <c r="C115" s="1">
        <v>2024</v>
      </c>
      <c r="D115" s="3" t="s">
        <v>1592</v>
      </c>
      <c r="E115" s="3" t="s">
        <v>1593</v>
      </c>
      <c r="F115" s="3" t="s">
        <v>1594</v>
      </c>
      <c r="G115" s="3" t="s">
        <v>1595</v>
      </c>
      <c r="H115" s="3" t="s">
        <v>1404</v>
      </c>
      <c r="I115" s="3" t="s">
        <v>93</v>
      </c>
      <c r="J115" s="3" t="s">
        <v>1596</v>
      </c>
      <c r="K115" s="1"/>
      <c r="L115" s="3" t="s">
        <v>1597</v>
      </c>
    </row>
    <row r="116" spans="1:12" ht="95" customHeight="1" x14ac:dyDescent="0.2">
      <c r="A116" s="1">
        <v>115</v>
      </c>
      <c r="B116" s="2" t="s">
        <v>73</v>
      </c>
      <c r="C116" s="1">
        <v>2024</v>
      </c>
      <c r="D116" s="3" t="s">
        <v>1598</v>
      </c>
      <c r="E116" s="3" t="s">
        <v>1599</v>
      </c>
      <c r="F116" s="3" t="s">
        <v>1600</v>
      </c>
      <c r="G116" s="3" t="s">
        <v>1601</v>
      </c>
      <c r="H116" s="3" t="s">
        <v>1404</v>
      </c>
      <c r="I116" s="3" t="s">
        <v>56</v>
      </c>
      <c r="J116" s="3" t="s">
        <v>1602</v>
      </c>
      <c r="K116" s="1"/>
      <c r="L116" s="3" t="s">
        <v>1603</v>
      </c>
    </row>
    <row r="117" spans="1:12" ht="95" customHeight="1" x14ac:dyDescent="0.2">
      <c r="A117" s="1">
        <v>116</v>
      </c>
      <c r="B117" s="2" t="s">
        <v>80</v>
      </c>
      <c r="C117" s="1">
        <v>2024</v>
      </c>
      <c r="D117" s="3" t="s">
        <v>1604</v>
      </c>
      <c r="E117" s="3" t="s">
        <v>1605</v>
      </c>
      <c r="F117" s="3" t="s">
        <v>1606</v>
      </c>
      <c r="G117" s="3" t="s">
        <v>1607</v>
      </c>
      <c r="H117" s="3" t="s">
        <v>1404</v>
      </c>
      <c r="I117" s="3" t="s">
        <v>18</v>
      </c>
      <c r="J117" s="3" t="s">
        <v>1608</v>
      </c>
      <c r="K117" s="1"/>
      <c r="L117" s="3" t="s">
        <v>1609</v>
      </c>
    </row>
    <row r="118" spans="1:12" ht="95" customHeight="1" x14ac:dyDescent="0.2">
      <c r="A118" s="1">
        <v>117</v>
      </c>
      <c r="B118" s="2" t="s">
        <v>178</v>
      </c>
      <c r="C118" s="1">
        <v>2024</v>
      </c>
      <c r="D118" s="3" t="s">
        <v>1610</v>
      </c>
      <c r="E118" s="3" t="s">
        <v>1611</v>
      </c>
      <c r="F118" s="3" t="s">
        <v>1612</v>
      </c>
      <c r="G118" s="3" t="s">
        <v>1613</v>
      </c>
      <c r="H118" s="3" t="s">
        <v>1404</v>
      </c>
      <c r="I118" s="3" t="s">
        <v>18</v>
      </c>
      <c r="J118" s="3" t="s">
        <v>1614</v>
      </c>
      <c r="K118" s="1"/>
      <c r="L118" s="3" t="s">
        <v>1615</v>
      </c>
    </row>
    <row r="119" spans="1:12" ht="82" customHeight="1" x14ac:dyDescent="0.2">
      <c r="A119" s="1">
        <v>118</v>
      </c>
      <c r="B119" s="2" t="s">
        <v>876</v>
      </c>
      <c r="C119" s="1">
        <v>2025</v>
      </c>
      <c r="D119" s="3" t="s">
        <v>1616</v>
      </c>
      <c r="E119" s="3" t="s">
        <v>1617</v>
      </c>
      <c r="F119" s="3" t="s">
        <v>1618</v>
      </c>
      <c r="G119" s="3" t="s">
        <v>1619</v>
      </c>
      <c r="H119" s="3" t="s">
        <v>1404</v>
      </c>
      <c r="I119" s="3" t="s">
        <v>93</v>
      </c>
      <c r="J119" s="3" t="s">
        <v>1620</v>
      </c>
      <c r="K119" s="1"/>
      <c r="L119" s="3" t="s">
        <v>1621</v>
      </c>
    </row>
    <row r="120" spans="1:12" ht="108" customHeight="1" x14ac:dyDescent="0.2">
      <c r="A120" s="1">
        <v>119</v>
      </c>
      <c r="B120" s="2" t="s">
        <v>1622</v>
      </c>
      <c r="C120" s="1">
        <v>2020</v>
      </c>
      <c r="D120" s="3" t="s">
        <v>1623</v>
      </c>
      <c r="E120" s="3" t="s">
        <v>1624</v>
      </c>
      <c r="F120" s="3" t="s">
        <v>1625</v>
      </c>
      <c r="G120" s="3" t="s">
        <v>1626</v>
      </c>
      <c r="H120" s="3" t="s">
        <v>1627</v>
      </c>
      <c r="I120" s="3" t="s">
        <v>56</v>
      </c>
      <c r="J120" s="3" t="s">
        <v>1628</v>
      </c>
      <c r="K120" s="1"/>
      <c r="L120" s="3" t="s">
        <v>1629</v>
      </c>
    </row>
    <row r="121" spans="1:12" ht="82" customHeight="1" x14ac:dyDescent="0.2">
      <c r="A121" s="1">
        <v>120</v>
      </c>
      <c r="B121" s="2" t="s">
        <v>44</v>
      </c>
      <c r="C121" s="1">
        <v>2020</v>
      </c>
      <c r="D121" s="3" t="s">
        <v>1630</v>
      </c>
      <c r="E121" s="3" t="s">
        <v>1631</v>
      </c>
      <c r="F121" s="3" t="s">
        <v>1632</v>
      </c>
      <c r="G121" s="3" t="s">
        <v>1633</v>
      </c>
      <c r="H121" s="3" t="s">
        <v>1627</v>
      </c>
      <c r="I121" s="3" t="s">
        <v>56</v>
      </c>
      <c r="J121" s="3" t="s">
        <v>1634</v>
      </c>
      <c r="K121" s="1"/>
      <c r="L121" s="3" t="s">
        <v>1635</v>
      </c>
    </row>
    <row r="122" spans="1:12" ht="82" customHeight="1" x14ac:dyDescent="0.2">
      <c r="A122" s="1">
        <v>121</v>
      </c>
      <c r="B122" s="2" t="s">
        <v>1636</v>
      </c>
      <c r="C122" s="1">
        <v>2021</v>
      </c>
      <c r="D122" s="3" t="s">
        <v>1637</v>
      </c>
      <c r="E122" s="3" t="s">
        <v>1638</v>
      </c>
      <c r="F122" s="3" t="s">
        <v>1639</v>
      </c>
      <c r="G122" s="3" t="s">
        <v>1640</v>
      </c>
      <c r="H122" s="3" t="s">
        <v>1627</v>
      </c>
      <c r="I122" s="3" t="s">
        <v>18</v>
      </c>
      <c r="J122" s="3" t="s">
        <v>1641</v>
      </c>
      <c r="K122" s="1" t="s">
        <v>27</v>
      </c>
      <c r="L122" s="3" t="s">
        <v>1642</v>
      </c>
    </row>
    <row r="123" spans="1:12" ht="82" customHeight="1" x14ac:dyDescent="0.2">
      <c r="A123" s="1">
        <v>122</v>
      </c>
      <c r="B123" s="2" t="s">
        <v>876</v>
      </c>
      <c r="C123" s="1">
        <v>2021</v>
      </c>
      <c r="D123" s="3" t="s">
        <v>1643</v>
      </c>
      <c r="E123" s="3" t="s">
        <v>1644</v>
      </c>
      <c r="F123" s="3" t="s">
        <v>1645</v>
      </c>
      <c r="G123" s="3" t="s">
        <v>1646</v>
      </c>
      <c r="H123" s="3" t="s">
        <v>1627</v>
      </c>
      <c r="I123" s="3" t="s">
        <v>93</v>
      </c>
      <c r="J123" s="3" t="s">
        <v>1647</v>
      </c>
      <c r="K123" s="1"/>
      <c r="L123" s="3" t="s">
        <v>1648</v>
      </c>
    </row>
    <row r="124" spans="1:12" ht="82" customHeight="1" x14ac:dyDescent="0.2">
      <c r="A124" s="1">
        <v>123</v>
      </c>
      <c r="B124" s="2" t="s">
        <v>1649</v>
      </c>
      <c r="C124" s="1">
        <v>2022</v>
      </c>
      <c r="D124" s="3" t="s">
        <v>1650</v>
      </c>
      <c r="E124" s="3" t="s">
        <v>1651</v>
      </c>
      <c r="F124" s="3" t="s">
        <v>1652</v>
      </c>
      <c r="G124" s="3" t="s">
        <v>1653</v>
      </c>
      <c r="H124" s="3" t="s">
        <v>1627</v>
      </c>
      <c r="I124" s="3" t="s">
        <v>34</v>
      </c>
      <c r="J124" s="3" t="s">
        <v>1654</v>
      </c>
      <c r="K124" s="1"/>
      <c r="L124" s="3" t="s">
        <v>1655</v>
      </c>
    </row>
    <row r="125" spans="1:12" ht="95" customHeight="1" x14ac:dyDescent="0.2">
      <c r="A125" s="1">
        <v>124</v>
      </c>
      <c r="B125" s="2" t="s">
        <v>725</v>
      </c>
      <c r="C125" s="1">
        <v>2022</v>
      </c>
      <c r="D125" s="3" t="s">
        <v>1656</v>
      </c>
      <c r="E125" s="3" t="s">
        <v>1657</v>
      </c>
      <c r="F125" s="3" t="s">
        <v>1658</v>
      </c>
      <c r="G125" s="3" t="s">
        <v>1659</v>
      </c>
      <c r="H125" s="3" t="s">
        <v>1627</v>
      </c>
      <c r="I125" s="3" t="s">
        <v>93</v>
      </c>
      <c r="J125" s="3" t="s">
        <v>1660</v>
      </c>
      <c r="K125" s="1"/>
      <c r="L125" s="3" t="s">
        <v>1661</v>
      </c>
    </row>
    <row r="126" spans="1:12" ht="82" customHeight="1" x14ac:dyDescent="0.2">
      <c r="A126" s="1">
        <v>125</v>
      </c>
      <c r="B126" s="2" t="s">
        <v>1662</v>
      </c>
      <c r="C126" s="1">
        <v>2023</v>
      </c>
      <c r="D126" s="3" t="s">
        <v>1663</v>
      </c>
      <c r="E126" s="3" t="s">
        <v>1664</v>
      </c>
      <c r="F126" s="3" t="s">
        <v>1665</v>
      </c>
      <c r="G126" s="3" t="s">
        <v>1666</v>
      </c>
      <c r="H126" s="3" t="s">
        <v>1627</v>
      </c>
      <c r="I126" s="3" t="s">
        <v>93</v>
      </c>
      <c r="J126" s="3" t="s">
        <v>1667</v>
      </c>
      <c r="K126" s="1"/>
      <c r="L126" s="3" t="s">
        <v>1668</v>
      </c>
    </row>
    <row r="127" spans="1:12" ht="108" customHeight="1" x14ac:dyDescent="0.2">
      <c r="A127" s="1">
        <v>126</v>
      </c>
      <c r="B127" s="2" t="s">
        <v>855</v>
      </c>
      <c r="C127" s="1">
        <v>2025</v>
      </c>
      <c r="D127" s="3" t="s">
        <v>1669</v>
      </c>
      <c r="E127" s="3" t="s">
        <v>1670</v>
      </c>
      <c r="F127" s="3" t="s">
        <v>1671</v>
      </c>
      <c r="G127" s="3" t="s">
        <v>1672</v>
      </c>
      <c r="H127" s="3" t="s">
        <v>1627</v>
      </c>
      <c r="I127" s="3" t="s">
        <v>85</v>
      </c>
      <c r="J127" s="3" t="s">
        <v>1673</v>
      </c>
      <c r="K127" s="1"/>
      <c r="L127" s="3" t="s">
        <v>1674</v>
      </c>
    </row>
    <row r="128" spans="1:12" ht="95" customHeight="1" x14ac:dyDescent="0.2">
      <c r="A128" s="1">
        <v>127</v>
      </c>
      <c r="B128" s="2" t="s">
        <v>80</v>
      </c>
      <c r="C128" s="1">
        <v>2025</v>
      </c>
      <c r="D128" s="3" t="s">
        <v>1675</v>
      </c>
      <c r="E128" s="3" t="s">
        <v>1676</v>
      </c>
      <c r="F128" s="3" t="s">
        <v>1677</v>
      </c>
      <c r="G128" s="3" t="s">
        <v>1678</v>
      </c>
      <c r="H128" s="3" t="s">
        <v>1627</v>
      </c>
      <c r="I128" s="3" t="s">
        <v>56</v>
      </c>
      <c r="J128" s="3" t="s">
        <v>1679</v>
      </c>
      <c r="K128" s="1"/>
      <c r="L128" s="3" t="s">
        <v>1680</v>
      </c>
    </row>
    <row r="129" spans="1:12" ht="69" customHeight="1" x14ac:dyDescent="0.2">
      <c r="A129" s="1">
        <v>128</v>
      </c>
      <c r="B129" s="2" t="s">
        <v>725</v>
      </c>
      <c r="C129" s="1">
        <v>2025</v>
      </c>
      <c r="D129" s="3" t="s">
        <v>1681</v>
      </c>
      <c r="E129" s="3" t="s">
        <v>1682</v>
      </c>
      <c r="F129" s="3" t="s">
        <v>1683</v>
      </c>
      <c r="G129" s="3" t="s">
        <v>1684</v>
      </c>
      <c r="H129" s="3" t="s">
        <v>1627</v>
      </c>
      <c r="I129" s="3" t="s">
        <v>56</v>
      </c>
      <c r="J129" s="3" t="s">
        <v>1685</v>
      </c>
      <c r="K129" s="1"/>
      <c r="L129" s="3" t="s">
        <v>1686</v>
      </c>
    </row>
    <row r="130" spans="1:12" ht="95" customHeight="1" x14ac:dyDescent="0.2">
      <c r="A130" s="1">
        <v>129</v>
      </c>
      <c r="B130" s="2" t="s">
        <v>1687</v>
      </c>
      <c r="C130" s="1">
        <v>2026</v>
      </c>
      <c r="D130" s="3" t="s">
        <v>1688</v>
      </c>
      <c r="E130" s="3" t="s">
        <v>1689</v>
      </c>
      <c r="F130" s="3" t="s">
        <v>1690</v>
      </c>
      <c r="G130" s="3" t="s">
        <v>1691</v>
      </c>
      <c r="H130" s="3" t="s">
        <v>1627</v>
      </c>
      <c r="I130" s="3" t="s">
        <v>18</v>
      </c>
      <c r="J130" s="3" t="s">
        <v>1692</v>
      </c>
      <c r="K130" s="1" t="s">
        <v>27</v>
      </c>
      <c r="L130" s="3" t="s">
        <v>1693</v>
      </c>
    </row>
    <row r="131" spans="1:12" ht="108" customHeight="1" x14ac:dyDescent="0.2">
      <c r="A131" s="1">
        <v>130</v>
      </c>
      <c r="B131" s="2" t="s">
        <v>632</v>
      </c>
      <c r="C131" s="1">
        <v>2026</v>
      </c>
      <c r="D131" s="3" t="s">
        <v>1694</v>
      </c>
      <c r="E131" s="3" t="s">
        <v>1695</v>
      </c>
      <c r="F131" s="3" t="s">
        <v>1696</v>
      </c>
      <c r="G131" s="3" t="s">
        <v>1697</v>
      </c>
      <c r="H131" s="3" t="s">
        <v>1627</v>
      </c>
      <c r="I131" s="3" t="s">
        <v>18</v>
      </c>
      <c r="J131" s="3" t="s">
        <v>1698</v>
      </c>
      <c r="K131" s="1"/>
      <c r="L131" s="3" t="s">
        <v>1699</v>
      </c>
    </row>
    <row r="132" spans="1:12" ht="82" customHeight="1" x14ac:dyDescent="0.2">
      <c r="A132" s="1">
        <v>131</v>
      </c>
      <c r="B132" s="2" t="s">
        <v>1700</v>
      </c>
      <c r="C132" s="1">
        <v>2026</v>
      </c>
      <c r="D132" s="3" t="s">
        <v>1701</v>
      </c>
      <c r="E132" s="3" t="s">
        <v>1702</v>
      </c>
      <c r="F132" s="3" t="s">
        <v>1703</v>
      </c>
      <c r="G132" s="3" t="s">
        <v>1704</v>
      </c>
      <c r="H132" s="3" t="s">
        <v>1627</v>
      </c>
      <c r="I132" s="3" t="s">
        <v>56</v>
      </c>
      <c r="J132" s="3" t="s">
        <v>1705</v>
      </c>
      <c r="K132" s="1" t="s">
        <v>27</v>
      </c>
      <c r="L132" s="3" t="s">
        <v>1706</v>
      </c>
    </row>
    <row r="133" spans="1:12" ht="108" customHeight="1" x14ac:dyDescent="0.2">
      <c r="A133" s="1">
        <v>132</v>
      </c>
      <c r="B133" s="2" t="s">
        <v>1707</v>
      </c>
      <c r="C133" s="1">
        <v>2019</v>
      </c>
      <c r="D133" s="3" t="s">
        <v>1708</v>
      </c>
      <c r="E133" s="3" t="s">
        <v>1709</v>
      </c>
      <c r="F133" s="3" t="s">
        <v>1710</v>
      </c>
      <c r="G133" s="3" t="s">
        <v>1711</v>
      </c>
      <c r="H133" s="3" t="s">
        <v>1712</v>
      </c>
      <c r="I133" s="3" t="s">
        <v>34</v>
      </c>
      <c r="J133" s="3" t="s">
        <v>1713</v>
      </c>
      <c r="K133" s="1"/>
      <c r="L133" s="3" t="s">
        <v>1714</v>
      </c>
    </row>
    <row r="134" spans="1:12" ht="121" customHeight="1" x14ac:dyDescent="0.2">
      <c r="A134" s="1">
        <v>133</v>
      </c>
      <c r="B134" s="2" t="s">
        <v>1715</v>
      </c>
      <c r="C134" s="1">
        <v>2019</v>
      </c>
      <c r="D134" s="3" t="s">
        <v>1716</v>
      </c>
      <c r="E134" s="3" t="s">
        <v>1717</v>
      </c>
      <c r="F134" s="3" t="s">
        <v>1718</v>
      </c>
      <c r="G134" s="3" t="s">
        <v>1719</v>
      </c>
      <c r="H134" s="3" t="s">
        <v>1712</v>
      </c>
      <c r="I134" s="3" t="s">
        <v>93</v>
      </c>
      <c r="J134" s="3" t="s">
        <v>1720</v>
      </c>
      <c r="K134" s="1"/>
      <c r="L134" s="3" t="s">
        <v>1721</v>
      </c>
    </row>
    <row r="135" spans="1:12" ht="108" customHeight="1" x14ac:dyDescent="0.2">
      <c r="A135" s="1">
        <v>134</v>
      </c>
      <c r="B135" s="2" t="s">
        <v>1722</v>
      </c>
      <c r="C135" s="1">
        <v>2020</v>
      </c>
      <c r="D135" s="3" t="s">
        <v>1723</v>
      </c>
      <c r="E135" s="3" t="s">
        <v>1724</v>
      </c>
      <c r="F135" s="3" t="s">
        <v>1725</v>
      </c>
      <c r="G135" s="3" t="s">
        <v>1726</v>
      </c>
      <c r="H135" s="3" t="s">
        <v>1712</v>
      </c>
      <c r="I135" s="3" t="s">
        <v>85</v>
      </c>
      <c r="J135" s="3" t="s">
        <v>1727</v>
      </c>
      <c r="K135" s="1"/>
      <c r="L135" s="3" t="s">
        <v>1728</v>
      </c>
    </row>
    <row r="136" spans="1:12" ht="95" customHeight="1" x14ac:dyDescent="0.2">
      <c r="A136" s="1">
        <v>135</v>
      </c>
      <c r="B136" s="2" t="s">
        <v>1729</v>
      </c>
      <c r="C136" s="1">
        <v>2021</v>
      </c>
      <c r="D136" s="3" t="s">
        <v>1730</v>
      </c>
      <c r="E136" s="3" t="s">
        <v>1731</v>
      </c>
      <c r="F136" s="3" t="s">
        <v>1732</v>
      </c>
      <c r="G136" s="3" t="s">
        <v>1733</v>
      </c>
      <c r="H136" s="3" t="s">
        <v>1712</v>
      </c>
      <c r="I136" s="3" t="s">
        <v>18</v>
      </c>
      <c r="J136" s="3" t="s">
        <v>1734</v>
      </c>
      <c r="K136" s="1"/>
      <c r="L136" s="3" t="s">
        <v>1735</v>
      </c>
    </row>
    <row r="137" spans="1:12" ht="108" customHeight="1" x14ac:dyDescent="0.2">
      <c r="A137" s="1">
        <v>136</v>
      </c>
      <c r="B137" s="2" t="s">
        <v>1736</v>
      </c>
      <c r="C137" s="1">
        <v>2021</v>
      </c>
      <c r="D137" s="3" t="s">
        <v>1737</v>
      </c>
      <c r="E137" s="3" t="s">
        <v>1738</v>
      </c>
      <c r="F137" s="3" t="s">
        <v>1739</v>
      </c>
      <c r="G137" s="3" t="s">
        <v>1740</v>
      </c>
      <c r="H137" s="3" t="s">
        <v>1712</v>
      </c>
      <c r="I137" s="3" t="s">
        <v>18</v>
      </c>
      <c r="J137" s="3" t="s">
        <v>1741</v>
      </c>
      <c r="K137" s="1"/>
      <c r="L137" s="3" t="s">
        <v>1742</v>
      </c>
    </row>
    <row r="138" spans="1:12" ht="69" customHeight="1" x14ac:dyDescent="0.2">
      <c r="A138" s="1">
        <v>137</v>
      </c>
      <c r="B138" s="2" t="s">
        <v>625</v>
      </c>
      <c r="C138" s="1">
        <v>2022</v>
      </c>
      <c r="D138" s="3" t="s">
        <v>1743</v>
      </c>
      <c r="E138" s="3" t="s">
        <v>1744</v>
      </c>
      <c r="F138" s="3" t="s">
        <v>1745</v>
      </c>
      <c r="G138" s="3" t="s">
        <v>1746</v>
      </c>
      <c r="H138" s="3" t="s">
        <v>1712</v>
      </c>
      <c r="I138" s="3" t="s">
        <v>18</v>
      </c>
      <c r="J138" s="3" t="s">
        <v>1747</v>
      </c>
      <c r="K138" s="1" t="s">
        <v>27</v>
      </c>
      <c r="L138" s="3" t="s">
        <v>1748</v>
      </c>
    </row>
    <row r="139" spans="1:12" ht="69" customHeight="1" x14ac:dyDescent="0.2">
      <c r="A139" s="1">
        <v>138</v>
      </c>
      <c r="B139" s="2" t="s">
        <v>625</v>
      </c>
      <c r="C139" s="1">
        <v>2022</v>
      </c>
      <c r="D139" s="3" t="s">
        <v>1749</v>
      </c>
      <c r="E139" s="3" t="s">
        <v>1750</v>
      </c>
      <c r="F139" s="3" t="s">
        <v>1751</v>
      </c>
      <c r="G139" s="3" t="s">
        <v>1752</v>
      </c>
      <c r="H139" s="3" t="s">
        <v>1712</v>
      </c>
      <c r="I139" s="3" t="s">
        <v>18</v>
      </c>
      <c r="J139" s="3" t="s">
        <v>1753</v>
      </c>
      <c r="K139" s="1" t="s">
        <v>27</v>
      </c>
      <c r="L139" s="3" t="s">
        <v>1754</v>
      </c>
    </row>
    <row r="140" spans="1:12" ht="69" customHeight="1" x14ac:dyDescent="0.2">
      <c r="A140" s="1">
        <v>139</v>
      </c>
      <c r="B140" s="2" t="s">
        <v>1190</v>
      </c>
      <c r="C140" s="1">
        <v>2022</v>
      </c>
      <c r="D140" s="3" t="s">
        <v>1755</v>
      </c>
      <c r="E140" s="3" t="s">
        <v>1756</v>
      </c>
      <c r="F140" s="3" t="s">
        <v>1757</v>
      </c>
      <c r="G140" s="3" t="s">
        <v>1758</v>
      </c>
      <c r="H140" s="3" t="s">
        <v>1712</v>
      </c>
      <c r="I140" s="3" t="s">
        <v>18</v>
      </c>
      <c r="J140" s="3" t="s">
        <v>1759</v>
      </c>
      <c r="K140" s="1" t="s">
        <v>27</v>
      </c>
      <c r="L140" s="3" t="s">
        <v>1760</v>
      </c>
    </row>
    <row r="141" spans="1:12" ht="121" customHeight="1" x14ac:dyDescent="0.2">
      <c r="A141" s="1">
        <v>140</v>
      </c>
      <c r="B141" s="2" t="s">
        <v>1761</v>
      </c>
      <c r="C141" s="1">
        <v>2022</v>
      </c>
      <c r="D141" s="3" t="s">
        <v>1762</v>
      </c>
      <c r="E141" s="3" t="s">
        <v>1763</v>
      </c>
      <c r="F141" s="3" t="s">
        <v>1764</v>
      </c>
      <c r="G141" s="3" t="s">
        <v>1765</v>
      </c>
      <c r="H141" s="3" t="s">
        <v>1712</v>
      </c>
      <c r="I141" s="3" t="s">
        <v>18</v>
      </c>
      <c r="J141" s="3" t="s">
        <v>1766</v>
      </c>
      <c r="K141" s="1"/>
      <c r="L141" s="3" t="s">
        <v>1767</v>
      </c>
    </row>
    <row r="142" spans="1:12" ht="95" customHeight="1" x14ac:dyDescent="0.2">
      <c r="A142" s="1">
        <v>141</v>
      </c>
      <c r="B142" s="2" t="s">
        <v>1768</v>
      </c>
      <c r="C142" s="1">
        <v>2022</v>
      </c>
      <c r="D142" s="3" t="s">
        <v>1769</v>
      </c>
      <c r="E142" s="3" t="s">
        <v>1770</v>
      </c>
      <c r="F142" s="3" t="s">
        <v>1771</v>
      </c>
      <c r="G142" s="3" t="s">
        <v>1772</v>
      </c>
      <c r="H142" s="3" t="s">
        <v>1712</v>
      </c>
      <c r="I142" s="3" t="s">
        <v>34</v>
      </c>
      <c r="J142" s="3" t="s">
        <v>1773</v>
      </c>
      <c r="K142" s="1"/>
      <c r="L142" s="3" t="s">
        <v>1774</v>
      </c>
    </row>
    <row r="143" spans="1:12" ht="95" customHeight="1" x14ac:dyDescent="0.2">
      <c r="A143" s="1">
        <v>142</v>
      </c>
      <c r="B143" s="2" t="s">
        <v>1775</v>
      </c>
      <c r="C143" s="1">
        <v>2022</v>
      </c>
      <c r="D143" s="3" t="s">
        <v>1776</v>
      </c>
      <c r="E143" s="3" t="s">
        <v>1777</v>
      </c>
      <c r="F143" s="3" t="s">
        <v>1778</v>
      </c>
      <c r="G143" s="3" t="s">
        <v>1779</v>
      </c>
      <c r="H143" s="3" t="s">
        <v>1712</v>
      </c>
      <c r="I143" s="3" t="s">
        <v>18</v>
      </c>
      <c r="J143" s="3" t="s">
        <v>1780</v>
      </c>
      <c r="K143" s="1"/>
      <c r="L143" s="3" t="s">
        <v>1781</v>
      </c>
    </row>
    <row r="144" spans="1:12" ht="82" customHeight="1" x14ac:dyDescent="0.2">
      <c r="A144" s="1">
        <v>143</v>
      </c>
      <c r="B144" s="2" t="s">
        <v>1782</v>
      </c>
      <c r="C144" s="1">
        <v>2023</v>
      </c>
      <c r="D144" s="3" t="s">
        <v>1783</v>
      </c>
      <c r="E144" s="3" t="s">
        <v>1784</v>
      </c>
      <c r="F144" s="3" t="s">
        <v>1785</v>
      </c>
      <c r="G144" s="3" t="s">
        <v>1786</v>
      </c>
      <c r="H144" s="3" t="s">
        <v>1712</v>
      </c>
      <c r="I144" s="3" t="s">
        <v>18</v>
      </c>
      <c r="J144" s="3" t="s">
        <v>1787</v>
      </c>
      <c r="K144" s="1" t="s">
        <v>27</v>
      </c>
      <c r="L144" s="3" t="s">
        <v>1788</v>
      </c>
    </row>
    <row r="145" spans="1:12" ht="95" customHeight="1" x14ac:dyDescent="0.2">
      <c r="A145" s="1">
        <v>144</v>
      </c>
      <c r="B145" s="2" t="s">
        <v>88</v>
      </c>
      <c r="C145" s="1">
        <v>2023</v>
      </c>
      <c r="D145" s="3" t="s">
        <v>1789</v>
      </c>
      <c r="E145" s="3" t="s">
        <v>1790</v>
      </c>
      <c r="F145" s="3" t="s">
        <v>1791</v>
      </c>
      <c r="G145" s="3" t="s">
        <v>1792</v>
      </c>
      <c r="H145" s="3" t="s">
        <v>1712</v>
      </c>
      <c r="I145" s="3" t="s">
        <v>93</v>
      </c>
      <c r="J145" s="3" t="s">
        <v>1793</v>
      </c>
      <c r="K145" s="1"/>
      <c r="L145" s="3" t="s">
        <v>1794</v>
      </c>
    </row>
    <row r="146" spans="1:12" ht="108" customHeight="1" x14ac:dyDescent="0.2">
      <c r="A146" s="1">
        <v>145</v>
      </c>
      <c r="B146" s="2" t="s">
        <v>1795</v>
      </c>
      <c r="C146" s="1">
        <v>2023</v>
      </c>
      <c r="D146" s="3" t="s">
        <v>1796</v>
      </c>
      <c r="E146" s="3" t="s">
        <v>1797</v>
      </c>
      <c r="F146" s="3" t="s">
        <v>1798</v>
      </c>
      <c r="G146" s="3" t="s">
        <v>1799</v>
      </c>
      <c r="H146" s="3" t="s">
        <v>1712</v>
      </c>
      <c r="I146" s="3" t="s">
        <v>18</v>
      </c>
      <c r="J146" s="3" t="s">
        <v>1800</v>
      </c>
      <c r="K146" s="1"/>
      <c r="L146" s="3" t="s">
        <v>1801</v>
      </c>
    </row>
    <row r="147" spans="1:12" ht="121" customHeight="1" x14ac:dyDescent="0.2">
      <c r="A147" s="1">
        <v>146</v>
      </c>
      <c r="B147" s="2" t="s">
        <v>1802</v>
      </c>
      <c r="C147" s="1">
        <v>2024</v>
      </c>
      <c r="D147" s="3" t="s">
        <v>1803</v>
      </c>
      <c r="E147" s="3" t="s">
        <v>1804</v>
      </c>
      <c r="F147" s="3" t="s">
        <v>1805</v>
      </c>
      <c r="G147" s="3" t="s">
        <v>1806</v>
      </c>
      <c r="H147" s="3" t="s">
        <v>1712</v>
      </c>
      <c r="I147" s="3" t="s">
        <v>34</v>
      </c>
      <c r="J147" s="3" t="s">
        <v>1807</v>
      </c>
      <c r="K147" s="1"/>
      <c r="L147" s="3" t="s">
        <v>1808</v>
      </c>
    </row>
    <row r="148" spans="1:12" ht="82" customHeight="1" x14ac:dyDescent="0.2">
      <c r="A148" s="1">
        <v>147</v>
      </c>
      <c r="B148" s="2" t="s">
        <v>1809</v>
      </c>
      <c r="C148" s="1">
        <v>2024</v>
      </c>
      <c r="D148" s="3" t="s">
        <v>1810</v>
      </c>
      <c r="E148" s="3" t="s">
        <v>1811</v>
      </c>
      <c r="F148" s="3" t="s">
        <v>1812</v>
      </c>
      <c r="G148" s="3" t="s">
        <v>1813</v>
      </c>
      <c r="H148" s="3" t="s">
        <v>1712</v>
      </c>
      <c r="I148" s="3" t="s">
        <v>93</v>
      </c>
      <c r="J148" s="3" t="s">
        <v>1814</v>
      </c>
      <c r="K148" s="1"/>
      <c r="L148" s="3" t="s">
        <v>1815</v>
      </c>
    </row>
    <row r="149" spans="1:12" ht="69" customHeight="1" x14ac:dyDescent="0.2">
      <c r="A149" s="1">
        <v>148</v>
      </c>
      <c r="B149" s="2" t="s">
        <v>1816</v>
      </c>
      <c r="C149" s="1">
        <v>2025</v>
      </c>
      <c r="D149" s="3" t="s">
        <v>1817</v>
      </c>
      <c r="E149" s="3" t="s">
        <v>1818</v>
      </c>
      <c r="F149" s="3" t="s">
        <v>1819</v>
      </c>
      <c r="G149" s="3" t="s">
        <v>1820</v>
      </c>
      <c r="H149" s="3" t="s">
        <v>1712</v>
      </c>
      <c r="I149" s="3" t="s">
        <v>18</v>
      </c>
      <c r="J149" s="3" t="s">
        <v>1821</v>
      </c>
      <c r="K149" s="1" t="s">
        <v>27</v>
      </c>
      <c r="L149" s="3" t="s">
        <v>1822</v>
      </c>
    </row>
    <row r="150" spans="1:12" ht="121" customHeight="1" x14ac:dyDescent="0.2">
      <c r="A150" s="1">
        <v>149</v>
      </c>
      <c r="B150" s="2" t="s">
        <v>1823</v>
      </c>
      <c r="C150" s="1">
        <v>2019</v>
      </c>
      <c r="D150" s="3" t="s">
        <v>1824</v>
      </c>
      <c r="E150" s="3" t="s">
        <v>1825</v>
      </c>
      <c r="F150" s="3" t="s">
        <v>1826</v>
      </c>
      <c r="G150" s="3" t="s">
        <v>1827</v>
      </c>
      <c r="H150" s="3" t="s">
        <v>1828</v>
      </c>
      <c r="I150" s="3" t="s">
        <v>18</v>
      </c>
      <c r="J150" s="3" t="s">
        <v>1829</v>
      </c>
      <c r="K150" s="1"/>
      <c r="L150" s="3" t="s">
        <v>1830</v>
      </c>
    </row>
    <row r="151" spans="1:12" ht="95" customHeight="1" x14ac:dyDescent="0.2">
      <c r="A151" s="1">
        <v>150</v>
      </c>
      <c r="B151" s="2" t="s">
        <v>1831</v>
      </c>
      <c r="C151" s="1">
        <v>2021</v>
      </c>
      <c r="D151" s="3" t="s">
        <v>1832</v>
      </c>
      <c r="E151" s="3" t="s">
        <v>1833</v>
      </c>
      <c r="F151" s="3" t="s">
        <v>1834</v>
      </c>
      <c r="G151" s="3" t="s">
        <v>1835</v>
      </c>
      <c r="H151" s="3" t="s">
        <v>1828</v>
      </c>
      <c r="I151" s="3" t="s">
        <v>93</v>
      </c>
      <c r="J151" s="3" t="s">
        <v>1836</v>
      </c>
      <c r="K151" s="1"/>
      <c r="L151" s="3" t="s">
        <v>1837</v>
      </c>
    </row>
    <row r="152" spans="1:12" ht="82" customHeight="1" x14ac:dyDescent="0.2">
      <c r="A152" s="1">
        <v>151</v>
      </c>
      <c r="B152" s="2" t="s">
        <v>1531</v>
      </c>
      <c r="C152" s="1">
        <v>2021</v>
      </c>
      <c r="D152" s="3" t="s">
        <v>1838</v>
      </c>
      <c r="E152" s="3" t="s">
        <v>1839</v>
      </c>
      <c r="F152" s="3" t="s">
        <v>1840</v>
      </c>
      <c r="G152" s="3" t="s">
        <v>1841</v>
      </c>
      <c r="H152" s="3" t="s">
        <v>1828</v>
      </c>
      <c r="I152" s="3" t="s">
        <v>18</v>
      </c>
      <c r="J152" s="3" t="s">
        <v>1842</v>
      </c>
      <c r="K152" s="1" t="s">
        <v>27</v>
      </c>
      <c r="L152" s="3" t="s">
        <v>1843</v>
      </c>
    </row>
    <row r="153" spans="1:12" ht="82" customHeight="1" x14ac:dyDescent="0.2">
      <c r="A153" s="1">
        <v>152</v>
      </c>
      <c r="B153" s="2" t="s">
        <v>1844</v>
      </c>
      <c r="C153" s="1">
        <v>2021</v>
      </c>
      <c r="D153" s="3" t="s">
        <v>1845</v>
      </c>
      <c r="E153" s="3" t="s">
        <v>1846</v>
      </c>
      <c r="F153" s="3" t="s">
        <v>1847</v>
      </c>
      <c r="G153" s="3" t="s">
        <v>1848</v>
      </c>
      <c r="H153" s="3" t="s">
        <v>1828</v>
      </c>
      <c r="I153" s="3" t="s">
        <v>18</v>
      </c>
      <c r="J153" s="3" t="s">
        <v>1849</v>
      </c>
      <c r="K153" s="1" t="s">
        <v>27</v>
      </c>
      <c r="L153" s="3" t="s">
        <v>1850</v>
      </c>
    </row>
    <row r="154" spans="1:12" ht="108" customHeight="1" x14ac:dyDescent="0.2">
      <c r="A154" s="1">
        <v>153</v>
      </c>
      <c r="B154" s="2" t="s">
        <v>178</v>
      </c>
      <c r="C154" s="1">
        <v>2021</v>
      </c>
      <c r="D154" s="3" t="s">
        <v>1851</v>
      </c>
      <c r="E154" s="3" t="s">
        <v>1852</v>
      </c>
      <c r="F154" s="3" t="s">
        <v>1853</v>
      </c>
      <c r="G154" s="3" t="s">
        <v>1854</v>
      </c>
      <c r="H154" s="3" t="s">
        <v>1828</v>
      </c>
      <c r="I154" s="3" t="s">
        <v>18</v>
      </c>
      <c r="J154" s="3" t="s">
        <v>1855</v>
      </c>
      <c r="K154" s="1"/>
      <c r="L154" s="3" t="s">
        <v>1856</v>
      </c>
    </row>
    <row r="155" spans="1:12" ht="82" customHeight="1" x14ac:dyDescent="0.2">
      <c r="A155" s="1">
        <v>154</v>
      </c>
      <c r="B155" s="2" t="s">
        <v>1311</v>
      </c>
      <c r="C155" s="1">
        <v>2023</v>
      </c>
      <c r="D155" s="3" t="s">
        <v>1857</v>
      </c>
      <c r="E155" s="3" t="s">
        <v>1858</v>
      </c>
      <c r="F155" s="3" t="s">
        <v>1859</v>
      </c>
      <c r="G155" s="3" t="s">
        <v>1860</v>
      </c>
      <c r="H155" s="3" t="s">
        <v>1828</v>
      </c>
      <c r="I155" s="3" t="s">
        <v>18</v>
      </c>
      <c r="J155" s="3" t="s">
        <v>1861</v>
      </c>
      <c r="K155" s="1"/>
      <c r="L155" s="3" t="s">
        <v>1862</v>
      </c>
    </row>
    <row r="156" spans="1:12" ht="95" customHeight="1" x14ac:dyDescent="0.2">
      <c r="A156" s="1">
        <v>155</v>
      </c>
      <c r="B156" s="2" t="s">
        <v>1863</v>
      </c>
      <c r="C156" s="1">
        <v>2023</v>
      </c>
      <c r="D156" s="3" t="s">
        <v>1864</v>
      </c>
      <c r="E156" s="3" t="s">
        <v>1865</v>
      </c>
      <c r="F156" s="3" t="s">
        <v>1866</v>
      </c>
      <c r="G156" s="3" t="s">
        <v>1867</v>
      </c>
      <c r="H156" s="3" t="s">
        <v>1828</v>
      </c>
      <c r="I156" s="3" t="s">
        <v>18</v>
      </c>
      <c r="J156" s="3" t="s">
        <v>1868</v>
      </c>
      <c r="K156" s="1"/>
      <c r="L156" s="3" t="s">
        <v>1869</v>
      </c>
    </row>
    <row r="157" spans="1:12" ht="95" customHeight="1" x14ac:dyDescent="0.2">
      <c r="A157" s="1">
        <v>156</v>
      </c>
      <c r="B157" s="2" t="s">
        <v>1870</v>
      </c>
      <c r="C157" s="1">
        <v>2023</v>
      </c>
      <c r="D157" s="3" t="s">
        <v>1871</v>
      </c>
      <c r="E157" s="3" t="s">
        <v>1872</v>
      </c>
      <c r="F157" s="3" t="s">
        <v>1873</v>
      </c>
      <c r="G157" s="3" t="s">
        <v>1874</v>
      </c>
      <c r="H157" s="3" t="s">
        <v>1828</v>
      </c>
      <c r="I157" s="3" t="s">
        <v>34</v>
      </c>
      <c r="J157" s="3" t="s">
        <v>1875</v>
      </c>
      <c r="K157" s="1"/>
      <c r="L157" s="3" t="s">
        <v>1876</v>
      </c>
    </row>
    <row r="158" spans="1:12" ht="108" customHeight="1" x14ac:dyDescent="0.2">
      <c r="A158" s="1">
        <v>157</v>
      </c>
      <c r="B158" s="2" t="s">
        <v>1877</v>
      </c>
      <c r="C158" s="1">
        <v>2024</v>
      </c>
      <c r="D158" s="3" t="s">
        <v>1878</v>
      </c>
      <c r="E158" s="3" t="s">
        <v>1879</v>
      </c>
      <c r="F158" s="3" t="s">
        <v>1880</v>
      </c>
      <c r="G158" s="3" t="s">
        <v>1881</v>
      </c>
      <c r="H158" s="3" t="s">
        <v>1828</v>
      </c>
      <c r="I158" s="3" t="s">
        <v>18</v>
      </c>
      <c r="J158" s="3" t="s">
        <v>1882</v>
      </c>
      <c r="K158" s="1" t="s">
        <v>27</v>
      </c>
      <c r="L158" s="3" t="s">
        <v>1883</v>
      </c>
    </row>
    <row r="159" spans="1:12" ht="108" customHeight="1" x14ac:dyDescent="0.2">
      <c r="A159" s="1">
        <v>158</v>
      </c>
      <c r="B159" s="2" t="s">
        <v>1884</v>
      </c>
      <c r="C159" s="1">
        <v>2024</v>
      </c>
      <c r="D159" s="3" t="s">
        <v>1885</v>
      </c>
      <c r="E159" s="3" t="s">
        <v>1886</v>
      </c>
      <c r="F159" s="3" t="s">
        <v>1887</v>
      </c>
      <c r="G159" s="3" t="s">
        <v>1888</v>
      </c>
      <c r="H159" s="3" t="s">
        <v>1828</v>
      </c>
      <c r="I159" s="3" t="s">
        <v>34</v>
      </c>
      <c r="J159" s="3" t="s">
        <v>1889</v>
      </c>
      <c r="K159" s="1"/>
      <c r="L159" s="3" t="s">
        <v>1890</v>
      </c>
    </row>
    <row r="160" spans="1:12" ht="82" customHeight="1" x14ac:dyDescent="0.2">
      <c r="A160" s="1">
        <v>159</v>
      </c>
      <c r="B160" s="2" t="s">
        <v>1891</v>
      </c>
      <c r="C160" s="1">
        <v>2025</v>
      </c>
      <c r="D160" s="3" t="s">
        <v>1892</v>
      </c>
      <c r="E160" s="3" t="s">
        <v>1893</v>
      </c>
      <c r="F160" s="3" t="s">
        <v>1894</v>
      </c>
      <c r="G160" s="3" t="s">
        <v>1895</v>
      </c>
      <c r="H160" s="3" t="s">
        <v>1828</v>
      </c>
      <c r="I160" s="3" t="s">
        <v>18</v>
      </c>
      <c r="J160" s="3" t="s">
        <v>1896</v>
      </c>
      <c r="K160" s="1" t="s">
        <v>27</v>
      </c>
      <c r="L160" s="3" t="s">
        <v>1897</v>
      </c>
    </row>
    <row r="161" spans="1:12" ht="82" customHeight="1" x14ac:dyDescent="0.2">
      <c r="A161" s="1">
        <v>160</v>
      </c>
      <c r="B161" s="2" t="s">
        <v>632</v>
      </c>
      <c r="C161" s="1">
        <v>2025</v>
      </c>
      <c r="D161" s="3" t="s">
        <v>1898</v>
      </c>
      <c r="E161" s="3" t="s">
        <v>1899</v>
      </c>
      <c r="F161" s="3" t="s">
        <v>1900</v>
      </c>
      <c r="G161" s="3" t="s">
        <v>1901</v>
      </c>
      <c r="H161" s="3" t="s">
        <v>1828</v>
      </c>
      <c r="I161" s="3" t="s">
        <v>18</v>
      </c>
      <c r="J161" s="3" t="s">
        <v>1902</v>
      </c>
      <c r="K161" s="1" t="s">
        <v>27</v>
      </c>
      <c r="L161" s="3" t="s">
        <v>1903</v>
      </c>
    </row>
    <row r="162" spans="1:12" ht="95" customHeight="1" x14ac:dyDescent="0.2">
      <c r="A162" s="1">
        <v>161</v>
      </c>
      <c r="B162" s="2" t="s">
        <v>1904</v>
      </c>
      <c r="C162" s="1">
        <v>2025</v>
      </c>
      <c r="D162" s="3" t="s">
        <v>1905</v>
      </c>
      <c r="E162" s="3" t="s">
        <v>1906</v>
      </c>
      <c r="F162" s="3" t="s">
        <v>1907</v>
      </c>
      <c r="G162" s="3" t="s">
        <v>1908</v>
      </c>
      <c r="H162" s="3" t="s">
        <v>1828</v>
      </c>
      <c r="I162" s="3" t="s">
        <v>18</v>
      </c>
      <c r="J162" s="3" t="s">
        <v>1909</v>
      </c>
      <c r="K162" s="1" t="s">
        <v>27</v>
      </c>
      <c r="L162" s="3" t="s">
        <v>1910</v>
      </c>
    </row>
    <row r="163" spans="1:12" ht="69" customHeight="1" x14ac:dyDescent="0.2">
      <c r="A163" s="1">
        <v>162</v>
      </c>
      <c r="B163" s="2" t="s">
        <v>1911</v>
      </c>
      <c r="C163" s="1">
        <v>2025</v>
      </c>
      <c r="D163" s="3" t="s">
        <v>1912</v>
      </c>
      <c r="E163" s="3" t="s">
        <v>1913</v>
      </c>
      <c r="F163" s="3" t="s">
        <v>1914</v>
      </c>
      <c r="G163" s="3" t="s">
        <v>1915</v>
      </c>
      <c r="H163" s="3" t="s">
        <v>1828</v>
      </c>
      <c r="I163" s="3" t="s">
        <v>18</v>
      </c>
      <c r="J163" s="3" t="s">
        <v>1916</v>
      </c>
      <c r="K163" s="1" t="s">
        <v>27</v>
      </c>
      <c r="L163" s="3" t="s">
        <v>1917</v>
      </c>
    </row>
  </sheetData>
  <autoFilter ref="A1:L16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4"/>
  <sheetViews>
    <sheetView workbookViewId="0">
      <selection activeCell="A13" activeCellId="1" sqref="A4:C4 A13:C13"/>
    </sheetView>
  </sheetViews>
  <sheetFormatPr baseColWidth="10" defaultColWidth="8.83203125" defaultRowHeight="15" x14ac:dyDescent="0.2"/>
  <cols>
    <col min="1" max="1" width="50" customWidth="1"/>
    <col min="2" max="2" width="16" customWidth="1"/>
    <col min="3" max="3" width="20.6640625" customWidth="1"/>
    <col min="4" max="4" width="14" customWidth="1"/>
    <col min="5" max="7" width="12" customWidth="1"/>
  </cols>
  <sheetData>
    <row r="1" spans="1:3" ht="17" customHeight="1" x14ac:dyDescent="0.2">
      <c r="A1" s="5" t="s">
        <v>1918</v>
      </c>
    </row>
    <row r="3" spans="1:3" x14ac:dyDescent="0.2">
      <c r="A3" s="6" t="s">
        <v>1919</v>
      </c>
    </row>
    <row r="4" spans="1:3" x14ac:dyDescent="0.2">
      <c r="A4" s="17" t="s">
        <v>1920</v>
      </c>
      <c r="B4" s="17" t="s">
        <v>1921</v>
      </c>
      <c r="C4" s="17" t="s">
        <v>1922</v>
      </c>
    </row>
    <row r="5" spans="1:3" x14ac:dyDescent="0.2">
      <c r="A5" s="7" t="s">
        <v>17</v>
      </c>
      <c r="B5" s="7">
        <f>SUMPRODUCT(--(LEFT('Core AI in EMC'!$H$2:$H$124,3)="A -"))</f>
        <v>37</v>
      </c>
      <c r="C5" s="8">
        <f>B5/$B$10</f>
        <v>0.30081300813008133</v>
      </c>
    </row>
    <row r="6" spans="1:3" x14ac:dyDescent="0.2">
      <c r="A6" s="7" t="s">
        <v>277</v>
      </c>
      <c r="B6" s="7">
        <f>SUMPRODUCT(--(LEFT('Core AI in EMC'!$H$2:$H$124,3)="B -"))</f>
        <v>15</v>
      </c>
      <c r="C6" s="8">
        <f>B6/$B$10</f>
        <v>0.12195121951219512</v>
      </c>
    </row>
    <row r="7" spans="1:3" x14ac:dyDescent="0.2">
      <c r="A7" s="7" t="s">
        <v>381</v>
      </c>
      <c r="B7" s="7">
        <f>SUMPRODUCT(--(LEFT('Core AI in EMC'!$H$2:$H$124,3)="C -"))</f>
        <v>19</v>
      </c>
      <c r="C7" s="8">
        <f>B7/$B$10</f>
        <v>0.15447154471544716</v>
      </c>
    </row>
    <row r="8" spans="1:3" x14ac:dyDescent="0.2">
      <c r="A8" s="7" t="s">
        <v>510</v>
      </c>
      <c r="B8" s="7">
        <f>SUMPRODUCT(--(LEFT('Core AI in EMC'!$H$2:$H$124,3)="D -"))</f>
        <v>31</v>
      </c>
      <c r="C8" s="8">
        <f>B8/$B$10</f>
        <v>0.25203252032520324</v>
      </c>
    </row>
    <row r="9" spans="1:3" x14ac:dyDescent="0.2">
      <c r="A9" s="7" t="s">
        <v>716</v>
      </c>
      <c r="B9" s="7">
        <f>SUMPRODUCT(--(LEFT('Core AI in EMC'!$H$2:$H$124,3)="E -"))</f>
        <v>21</v>
      </c>
      <c r="C9" s="8">
        <f>B9/$B$10</f>
        <v>0.17073170731707318</v>
      </c>
    </row>
    <row r="10" spans="1:3" x14ac:dyDescent="0.2">
      <c r="A10" s="9" t="s">
        <v>1923</v>
      </c>
      <c r="B10" s="9">
        <f>SUM(B5:B9)</f>
        <v>123</v>
      </c>
      <c r="C10" s="10"/>
    </row>
    <row r="12" spans="1:3" x14ac:dyDescent="0.2">
      <c r="A12" s="6" t="s">
        <v>1924</v>
      </c>
    </row>
    <row r="13" spans="1:3" x14ac:dyDescent="0.2">
      <c r="A13" s="17" t="s">
        <v>1920</v>
      </c>
      <c r="B13" s="17" t="s">
        <v>1921</v>
      </c>
      <c r="C13" s="17" t="s">
        <v>1922</v>
      </c>
    </row>
    <row r="14" spans="1:3" x14ac:dyDescent="0.2">
      <c r="A14" s="7" t="s">
        <v>18</v>
      </c>
      <c r="B14" s="7">
        <f>SUMPRODUCT(--(LEFT('Core AI in EMC'!$I$2:$I$124,3)="1 -"))</f>
        <v>66</v>
      </c>
      <c r="C14" s="8">
        <f>B14/$B$19</f>
        <v>0.53658536585365857</v>
      </c>
    </row>
    <row r="15" spans="1:3" x14ac:dyDescent="0.2">
      <c r="A15" s="7" t="s">
        <v>34</v>
      </c>
      <c r="B15" s="7">
        <f>SUMPRODUCT(--(LEFT('Core AI in EMC'!$I$2:$I$124,3)="2 -"))</f>
        <v>24</v>
      </c>
      <c r="C15" s="8">
        <f>B15/$B$19</f>
        <v>0.1951219512195122</v>
      </c>
    </row>
    <row r="16" spans="1:3" x14ac:dyDescent="0.2">
      <c r="A16" s="7" t="s">
        <v>56</v>
      </c>
      <c r="B16" s="7">
        <f>SUMPRODUCT(--(LEFT('Core AI in EMC'!$I$2:$I$124,3)="3 -"))</f>
        <v>7</v>
      </c>
      <c r="C16" s="8">
        <f>B16/$B$19</f>
        <v>5.6910569105691054E-2</v>
      </c>
    </row>
    <row r="17" spans="1:3" x14ac:dyDescent="0.2">
      <c r="A17" s="7" t="s">
        <v>85</v>
      </c>
      <c r="B17" s="7">
        <f>SUMPRODUCT(--(LEFT('Core AI in EMC'!$I$2:$I$124,3)="4 -"))</f>
        <v>6</v>
      </c>
      <c r="C17" s="8">
        <f>B17/$B$19</f>
        <v>4.878048780487805E-2</v>
      </c>
    </row>
    <row r="18" spans="1:3" x14ac:dyDescent="0.2">
      <c r="A18" s="7" t="s">
        <v>93</v>
      </c>
      <c r="B18" s="7">
        <f>SUMPRODUCT(--(LEFT('Core AI in EMC'!$I$2:$I$124,3)="5 -"))</f>
        <v>20</v>
      </c>
      <c r="C18" s="8">
        <f>B18/$B$19</f>
        <v>0.16260162601626016</v>
      </c>
    </row>
    <row r="19" spans="1:3" x14ac:dyDescent="0.2">
      <c r="A19" s="9" t="s">
        <v>1923</v>
      </c>
      <c r="B19" s="9">
        <f>SUM(B14:B18)</f>
        <v>123</v>
      </c>
      <c r="C19" s="10"/>
    </row>
    <row r="21" spans="1:3" x14ac:dyDescent="0.2">
      <c r="A21" s="6" t="s">
        <v>1925</v>
      </c>
    </row>
    <row r="22" spans="1:3" x14ac:dyDescent="0.2">
      <c r="A22" s="11" t="s">
        <v>1920</v>
      </c>
      <c r="B22" s="11" t="s">
        <v>1921</v>
      </c>
      <c r="C22" s="11" t="s">
        <v>1922</v>
      </c>
    </row>
    <row r="23" spans="1:3" x14ac:dyDescent="0.2">
      <c r="A23" s="7" t="s">
        <v>852</v>
      </c>
      <c r="B23" s="7">
        <f>SUMPRODUCT(--(LEFT('Adjacent EM domains'!$H$2:$H$163,4)="F1 -"))</f>
        <v>84</v>
      </c>
      <c r="C23" s="8">
        <f>B23/$B$28</f>
        <v>0.51851851851851849</v>
      </c>
    </row>
    <row r="24" spans="1:3" x14ac:dyDescent="0.2">
      <c r="A24" s="7" t="s">
        <v>1404</v>
      </c>
      <c r="B24" s="7">
        <f>SUMPRODUCT(--(LEFT('Adjacent EM domains'!$H$2:$H$163,4)="F2 -"))</f>
        <v>34</v>
      </c>
      <c r="C24" s="8">
        <f>B24/$B$28</f>
        <v>0.20987654320987653</v>
      </c>
    </row>
    <row r="25" spans="1:3" x14ac:dyDescent="0.2">
      <c r="A25" s="7" t="s">
        <v>1627</v>
      </c>
      <c r="B25" s="7">
        <f>SUMPRODUCT(--(LEFT('Adjacent EM domains'!$H$2:$H$163,4)="F3 -"))</f>
        <v>13</v>
      </c>
      <c r="C25" s="8">
        <f>B25/$B$28</f>
        <v>8.0246913580246909E-2</v>
      </c>
    </row>
    <row r="26" spans="1:3" x14ac:dyDescent="0.2">
      <c r="A26" s="7" t="s">
        <v>1712</v>
      </c>
      <c r="B26" s="7">
        <f>SUMPRODUCT(--(LEFT('Adjacent EM domains'!$H$2:$H$163,4)="F4 -"))</f>
        <v>17</v>
      </c>
      <c r="C26" s="8">
        <f>B26/$B$28</f>
        <v>0.10493827160493827</v>
      </c>
    </row>
    <row r="27" spans="1:3" x14ac:dyDescent="0.2">
      <c r="A27" s="7" t="s">
        <v>1828</v>
      </c>
      <c r="B27" s="7">
        <f>SUMPRODUCT(--(LEFT('Adjacent EM domains'!$H$2:$H$163,4)="F5 -"))</f>
        <v>14</v>
      </c>
      <c r="C27" s="8">
        <f>B27/$B$28</f>
        <v>8.6419753086419748E-2</v>
      </c>
    </row>
    <row r="28" spans="1:3" x14ac:dyDescent="0.2">
      <c r="A28" s="9" t="s">
        <v>1923</v>
      </c>
      <c r="B28" s="9">
        <f>SUM(B23:B27)</f>
        <v>162</v>
      </c>
      <c r="C28" s="10"/>
    </row>
    <row r="30" spans="1:3" x14ac:dyDescent="0.2">
      <c r="A30" s="6" t="s">
        <v>1926</v>
      </c>
    </row>
    <row r="31" spans="1:3" x14ac:dyDescent="0.2">
      <c r="A31" s="11" t="s">
        <v>1920</v>
      </c>
      <c r="B31" s="11" t="s">
        <v>1921</v>
      </c>
      <c r="C31" s="11" t="s">
        <v>1922</v>
      </c>
    </row>
    <row r="32" spans="1:3" x14ac:dyDescent="0.2">
      <c r="A32" s="7" t="s">
        <v>18</v>
      </c>
      <c r="B32" s="7">
        <f>SUMPRODUCT(--(LEFT('Adjacent EM domains'!$I$2:$I$163,3)="1 -"))</f>
        <v>69</v>
      </c>
      <c r="C32" s="8">
        <f>B32/$B$37</f>
        <v>0.42592592592592593</v>
      </c>
    </row>
    <row r="33" spans="1:7" x14ac:dyDescent="0.2">
      <c r="A33" s="7" t="s">
        <v>34</v>
      </c>
      <c r="B33" s="7">
        <f>SUMPRODUCT(--(LEFT('Adjacent EM domains'!$I$2:$I$163,3)="2 -"))</f>
        <v>40</v>
      </c>
      <c r="C33" s="8">
        <f>B33/$B$37</f>
        <v>0.24691358024691357</v>
      </c>
    </row>
    <row r="34" spans="1:7" x14ac:dyDescent="0.2">
      <c r="A34" s="7" t="s">
        <v>56</v>
      </c>
      <c r="B34" s="7">
        <f>SUMPRODUCT(--(LEFT('Adjacent EM domains'!$I$2:$I$163,3)="3 -"))</f>
        <v>12</v>
      </c>
      <c r="C34" s="8">
        <f>B34/$B$37</f>
        <v>7.407407407407407E-2</v>
      </c>
    </row>
    <row r="35" spans="1:7" x14ac:dyDescent="0.2">
      <c r="A35" s="7" t="s">
        <v>85</v>
      </c>
      <c r="B35" s="7">
        <f>SUMPRODUCT(--(LEFT('Adjacent EM domains'!$I$2:$I$163,3)="4 -"))</f>
        <v>8</v>
      </c>
      <c r="C35" s="8">
        <f>B35/$B$37</f>
        <v>4.9382716049382713E-2</v>
      </c>
    </row>
    <row r="36" spans="1:7" x14ac:dyDescent="0.2">
      <c r="A36" s="7" t="s">
        <v>93</v>
      </c>
      <c r="B36" s="7">
        <f>SUMPRODUCT(--(LEFT('Adjacent EM domains'!$I$2:$I$163,3)="5 -"))</f>
        <v>33</v>
      </c>
      <c r="C36" s="8">
        <f>B36/$B$37</f>
        <v>0.20370370370370369</v>
      </c>
    </row>
    <row r="37" spans="1:7" x14ac:dyDescent="0.2">
      <c r="A37" s="9" t="s">
        <v>1923</v>
      </c>
      <c r="B37" s="9">
        <f>SUM(B32:B36)</f>
        <v>162</v>
      </c>
      <c r="C37" s="10"/>
    </row>
    <row r="39" spans="1:7" x14ac:dyDescent="0.2">
      <c r="A39" s="6" t="s">
        <v>1927</v>
      </c>
    </row>
    <row r="40" spans="1:7" ht="30" customHeight="1" x14ac:dyDescent="0.2">
      <c r="A40" s="14" t="s">
        <v>1928</v>
      </c>
      <c r="B40" s="15"/>
      <c r="C40" s="15"/>
      <c r="D40" s="15"/>
      <c r="E40" s="15"/>
      <c r="F40" s="15"/>
      <c r="G40" s="15"/>
    </row>
    <row r="41" spans="1:7" ht="30" customHeight="1" x14ac:dyDescent="0.2">
      <c r="A41" s="14" t="s">
        <v>1929</v>
      </c>
      <c r="B41" s="15"/>
      <c r="C41" s="15"/>
      <c r="D41" s="15"/>
      <c r="E41" s="15"/>
      <c r="F41" s="15"/>
      <c r="G41" s="15"/>
    </row>
    <row r="42" spans="1:7" ht="30" customHeight="1" x14ac:dyDescent="0.2">
      <c r="A42" s="14" t="s">
        <v>1930</v>
      </c>
      <c r="B42" s="15"/>
      <c r="C42" s="15"/>
      <c r="D42" s="15"/>
      <c r="E42" s="15"/>
      <c r="F42" s="15"/>
      <c r="G42" s="15"/>
    </row>
    <row r="43" spans="1:7" ht="30" customHeight="1" x14ac:dyDescent="0.2">
      <c r="A43" s="14" t="s">
        <v>1931</v>
      </c>
      <c r="B43" s="15"/>
      <c r="C43" s="15"/>
      <c r="D43" s="15"/>
      <c r="E43" s="15"/>
      <c r="F43" s="15"/>
      <c r="G43" s="15"/>
    </row>
    <row r="44" spans="1:7" ht="30" customHeight="1" x14ac:dyDescent="0.2">
      <c r="A44" s="14" t="s">
        <v>1932</v>
      </c>
      <c r="B44" s="15"/>
      <c r="C44" s="15"/>
      <c r="D44" s="15"/>
      <c r="E44" s="15"/>
      <c r="F44" s="15"/>
      <c r="G44" s="15"/>
    </row>
  </sheetData>
  <mergeCells count="5">
    <mergeCell ref="A44:G44"/>
    <mergeCell ref="A40:G40"/>
    <mergeCell ref="A43:G43"/>
    <mergeCell ref="A41:G41"/>
    <mergeCell ref="A42:G4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8"/>
  <sheetViews>
    <sheetView workbookViewId="0">
      <selection activeCell="A12" sqref="A12"/>
    </sheetView>
  </sheetViews>
  <sheetFormatPr baseColWidth="10" defaultColWidth="8.83203125" defaultRowHeight="15" x14ac:dyDescent="0.2"/>
  <cols>
    <col min="1" max="1" width="120" customWidth="1"/>
  </cols>
  <sheetData>
    <row r="1" spans="1:1" ht="18" customHeight="1" x14ac:dyDescent="0.2">
      <c r="A1" s="13" t="s">
        <v>1933</v>
      </c>
    </row>
    <row r="2" spans="1:1" x14ac:dyDescent="0.2">
      <c r="A2" s="12"/>
    </row>
    <row r="3" spans="1:1" ht="43" customHeight="1" x14ac:dyDescent="0.2">
      <c r="A3" s="12" t="s">
        <v>1934</v>
      </c>
    </row>
    <row r="4" spans="1:1" ht="30" customHeight="1" x14ac:dyDescent="0.2">
      <c r="A4" s="12" t="s">
        <v>1935</v>
      </c>
    </row>
    <row r="5" spans="1:1" ht="43" customHeight="1" x14ac:dyDescent="0.2">
      <c r="A5" s="12" t="s">
        <v>1936</v>
      </c>
    </row>
    <row r="6" spans="1:1" ht="56" customHeight="1" x14ac:dyDescent="0.2">
      <c r="A6" s="12" t="s">
        <v>1937</v>
      </c>
    </row>
    <row r="7" spans="1:1" ht="30" customHeight="1" x14ac:dyDescent="0.2">
      <c r="A7" s="12" t="s">
        <v>1938</v>
      </c>
    </row>
    <row r="8" spans="1:1" ht="30" customHeight="1" x14ac:dyDescent="0.2">
      <c r="A8" s="12" t="s">
        <v>1939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Listy</vt:lpstr>
      </vt:variant>
      <vt:variant>
        <vt:i4>4</vt:i4>
      </vt:variant>
    </vt:vector>
  </HeadingPairs>
  <TitlesOfParts>
    <vt:vector size="4" baseType="lpstr">
      <vt:lpstr>Core AI in EMC</vt:lpstr>
      <vt:lpstr>Adjacent EM domains</vt:lpstr>
      <vt:lpstr>Statistics</vt:lpstr>
      <vt:lpstr>Methodology</vt:lpstr>
    </vt:vector>
  </TitlesOfParts>
  <Manager/>
  <Company>TBU in Zlin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Analysis_workbook</dc:title>
  <dc:subject/>
  <dc:creator>EMC group - TBU in Zlin</dc:creator>
  <cp:keywords/>
  <dc:description/>
  <cp:lastModifiedBy>Stanislav Kovář</cp:lastModifiedBy>
  <dcterms:created xsi:type="dcterms:W3CDTF">2026-07-19T05:31:07Z</dcterms:created>
  <dcterms:modified xsi:type="dcterms:W3CDTF">2026-07-19T05:39:03Z</dcterms:modified>
  <cp:category/>
</cp:coreProperties>
</file>